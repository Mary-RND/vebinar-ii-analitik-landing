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Freelance\Business plan\Готовые документы\"/>
    </mc:Choice>
  </mc:AlternateContent>
  <bookViews>
    <workbookView xWindow="0" yWindow="0" windowWidth="23040" windowHeight="10500"/>
  </bookViews>
  <sheets>
    <sheet name="Допущения" sheetId="1" r:id="rId1"/>
    <sheet name="Рынок" sheetId="2" r:id="rId2"/>
    <sheet name="Выручка" sheetId="3" r:id="rId3"/>
    <sheet name="Расходы" sheetId="4" r:id="rId4"/>
    <sheet name="PnL" sheetId="5" r:id="rId5"/>
    <sheet name="ДДС" sheetId="6" r:id="rId6"/>
    <sheet name="Инвестор" sheetId="7" r:id="rId7"/>
    <sheet name="ИС_Оценка" sheetId="8" r:id="rId8"/>
    <sheet name="Китай_АТР" sheetId="9" r:id="rId9"/>
  </sheets>
  <calcPr calcId="162913"/>
</workbook>
</file>

<file path=xl/calcChain.xml><?xml version="1.0" encoding="utf-8"?>
<calcChain xmlns="http://schemas.openxmlformats.org/spreadsheetml/2006/main">
  <c r="D11" i="8" l="1"/>
  <c r="B51" i="7"/>
  <c r="B50" i="7"/>
  <c r="B49" i="7"/>
  <c r="C36" i="7"/>
  <c r="B35" i="7"/>
  <c r="B26" i="7"/>
  <c r="B25" i="7"/>
  <c r="B27" i="7" s="1"/>
  <c r="B12" i="7"/>
  <c r="B11" i="7"/>
  <c r="B13" i="7" s="1"/>
  <c r="B5" i="7"/>
  <c r="B4" i="7"/>
  <c r="B6" i="7" s="1"/>
  <c r="G9" i="6"/>
  <c r="F9" i="6"/>
  <c r="E9" i="6"/>
  <c r="D9" i="6"/>
  <c r="C9" i="6"/>
  <c r="G8" i="6"/>
  <c r="F8" i="6"/>
  <c r="E8" i="6"/>
  <c r="D8" i="6"/>
  <c r="C8" i="6"/>
  <c r="G7" i="6"/>
  <c r="F7" i="6"/>
  <c r="E7" i="6"/>
  <c r="D7" i="6"/>
  <c r="C7" i="6"/>
  <c r="C6" i="1"/>
  <c r="D9" i="4" s="1"/>
  <c r="C5" i="1"/>
  <c r="G8" i="3" s="1"/>
  <c r="B7" i="7" l="1"/>
  <c r="B14" i="7"/>
  <c r="B21" i="7" s="1"/>
  <c r="B29" i="7" s="1"/>
  <c r="D4" i="3"/>
  <c r="C5" i="3"/>
  <c r="G5" i="3"/>
  <c r="F6" i="3"/>
  <c r="E7" i="3"/>
  <c r="D8" i="3"/>
  <c r="F4" i="4"/>
  <c r="E5" i="4"/>
  <c r="D6" i="4"/>
  <c r="C7" i="4"/>
  <c r="G7" i="4"/>
  <c r="F8" i="4"/>
  <c r="E9" i="4"/>
  <c r="E4" i="3"/>
  <c r="D5" i="3"/>
  <c r="C6" i="3"/>
  <c r="G6" i="3"/>
  <c r="F7" i="3"/>
  <c r="E8" i="3"/>
  <c r="C4" i="4"/>
  <c r="G4" i="4"/>
  <c r="F5" i="4"/>
  <c r="E6" i="4"/>
  <c r="D7" i="4"/>
  <c r="C8" i="4"/>
  <c r="G8" i="4"/>
  <c r="F9" i="4"/>
  <c r="F4" i="3"/>
  <c r="E5" i="3"/>
  <c r="D6" i="3"/>
  <c r="C7" i="3"/>
  <c r="G7" i="3"/>
  <c r="F8" i="3"/>
  <c r="D4" i="4"/>
  <c r="C5" i="4"/>
  <c r="G5" i="4"/>
  <c r="F6" i="4"/>
  <c r="E7" i="4"/>
  <c r="D8" i="4"/>
  <c r="C9" i="4"/>
  <c r="G9" i="4"/>
  <c r="C4" i="3"/>
  <c r="C10" i="3" s="1"/>
  <c r="C4" i="5" s="1"/>
  <c r="G4" i="3"/>
  <c r="F5" i="3"/>
  <c r="E6" i="3"/>
  <c r="D7" i="3"/>
  <c r="C8" i="3"/>
  <c r="E4" i="4"/>
  <c r="D5" i="4"/>
  <c r="C6" i="4"/>
  <c r="G6" i="4"/>
  <c r="F7" i="4"/>
  <c r="E8" i="4"/>
  <c r="C40" i="7" l="1"/>
  <c r="B43" i="7" s="1"/>
  <c r="B31" i="7"/>
  <c r="D10" i="3"/>
  <c r="D4" i="5" s="1"/>
  <c r="E11" i="4"/>
  <c r="E6" i="5" s="1"/>
  <c r="F10" i="3"/>
  <c r="F4" i="5" s="1"/>
  <c r="C11" i="4"/>
  <c r="C6" i="5" s="1"/>
  <c r="B20" i="7"/>
  <c r="B19" i="7"/>
  <c r="B18" i="7"/>
  <c r="G11" i="4"/>
  <c r="G6" i="5" s="1"/>
  <c r="G10" i="3"/>
  <c r="G4" i="5" s="1"/>
  <c r="F11" i="4"/>
  <c r="F6" i="5" s="1"/>
  <c r="C8" i="5"/>
  <c r="C9" i="5" s="1"/>
  <c r="D11" i="4"/>
  <c r="D6" i="5" s="1"/>
  <c r="E10" i="3"/>
  <c r="E4" i="5" s="1"/>
  <c r="B22" i="7" l="1"/>
  <c r="G8" i="5"/>
  <c r="G9" i="5" s="1"/>
  <c r="C49" i="7"/>
  <c r="D49" i="7" s="1"/>
  <c r="B28" i="7"/>
  <c r="C51" i="7"/>
  <c r="D51" i="7" s="1"/>
  <c r="C50" i="7"/>
  <c r="D50" i="7" s="1"/>
  <c r="D8" i="5"/>
  <c r="E8" i="5"/>
  <c r="E9" i="5" s="1"/>
  <c r="F8" i="5"/>
  <c r="C6" i="6"/>
  <c r="C11" i="6" s="1"/>
  <c r="D4" i="6" s="1"/>
  <c r="C11" i="5"/>
  <c r="C12" i="5" s="1"/>
  <c r="C13" i="5" s="1"/>
  <c r="D11" i="5" l="1"/>
  <c r="D12" i="5" s="1"/>
  <c r="D13" i="5" s="1"/>
  <c r="D6" i="6"/>
  <c r="D11" i="6" s="1"/>
  <c r="E4" i="6" s="1"/>
  <c r="E11" i="5"/>
  <c r="E12" i="5" s="1"/>
  <c r="E13" i="5" s="1"/>
  <c r="E6" i="6"/>
  <c r="B40" i="7"/>
  <c r="B30" i="7"/>
  <c r="F11" i="5"/>
  <c r="F12" i="5" s="1"/>
  <c r="F13" i="5" s="1"/>
  <c r="F6" i="6"/>
  <c r="F9" i="5"/>
  <c r="D9" i="5"/>
  <c r="G6" i="6"/>
  <c r="G11" i="5"/>
  <c r="G12" i="5" s="1"/>
  <c r="G13" i="5" s="1"/>
  <c r="E11" i="6" l="1"/>
  <c r="F4" i="6" s="1"/>
  <c r="F11" i="6" s="1"/>
  <c r="G4" i="6" s="1"/>
  <c r="G11" i="6" s="1"/>
  <c r="B42" i="7"/>
  <c r="B44" i="7"/>
</calcChain>
</file>

<file path=xl/sharedStrings.xml><?xml version="1.0" encoding="utf-8"?>
<sst xmlns="http://schemas.openxmlformats.org/spreadsheetml/2006/main" count="284" uniqueCount="252">
  <si>
    <t>VitaGen-AI — ФИНАНСОВАЯ МОДЕЛЬ (2026–2030). Все значения в млн ₽, если не указано иное</t>
  </si>
  <si>
    <t>Жёлтые ячейки — входные параметры. Рыночные данные атрибутированы на листе «Рынок». Модель сценарная: переключатель в C4.</t>
  </si>
  <si>
    <t>СЦЕНАРИЙ (0 — пессимистичный, 1 — базовый, 2 — оптимистичный)</t>
  </si>
  <si>
    <t>Коэффициент к выручке</t>
  </si>
  <si>
    <t>Коэффициент к расходам</t>
  </si>
  <si>
    <t>Показатель</t>
  </si>
  <si>
    <t>Ед.</t>
  </si>
  <si>
    <t>МОНЕТИЗАЦИЯ (цены)</t>
  </si>
  <si>
    <t>Подписка клиники (SaaS + аналитика базового модуля)</t>
  </si>
  <si>
    <t>млн ₽/год</t>
  </si>
  <si>
    <t>Доп. модули ARPU на клинику</t>
  </si>
  <si>
    <t>Матчинг донорство/СМ (за случай)</t>
  </si>
  <si>
    <t>млн ₽</t>
  </si>
  <si>
    <t>B2G-аналитика региона (CLBR/CPLB)</t>
  </si>
  <si>
    <t>APAC-партнёр (лицензия, Хайнань/АТР)</t>
  </si>
  <si>
    <t>ОБЪЁМЫ ПРОДАЖ (конец периода, накопительно)</t>
  </si>
  <si>
    <t>Клиники-абоненты в РФ</t>
  </si>
  <si>
    <t>шт</t>
  </si>
  <si>
    <t>Регионы — контракты B2G</t>
  </si>
  <si>
    <t>Случаи матча донорство/СМ</t>
  </si>
  <si>
    <t>случаев/год</t>
  </si>
  <si>
    <t>APAC-партнёры (эквивалент полной загрузки)</t>
  </si>
  <si>
    <t>FTE-экв.</t>
  </si>
  <si>
    <t>РАСХОДЫ (млн ₽, с коэффициентом сценария)</t>
  </si>
  <si>
    <t>ФОТ с отчислениями (команда)</t>
  </si>
  <si>
    <t>НИОКР: подряды, данные, обучение моделей</t>
  </si>
  <si>
    <t>Маркетинг и продажи (без ФОТ продаж)</t>
  </si>
  <si>
    <t>Инфраструктура / облако / поддержка</t>
  </si>
  <si>
    <t>Административные, юр., бух., аренда</t>
  </si>
  <si>
    <t>Регуляторика РФ (ИИ-МИ) + NMPA (Китай)</t>
  </si>
  <si>
    <t>НАЛОГИ И ИНВЕСТИЦИИ</t>
  </si>
  <si>
    <t>УСН «доходы» (консервативно; возможен Сколково 0%)</t>
  </si>
  <si>
    <t>%</t>
  </si>
  <si>
    <t>Раунд 1 — Seed (привлечено)</t>
  </si>
  <si>
    <t>Раунд 2 — Series A (привлечено)</t>
  </si>
  <si>
    <t>Гранты (non-dilutive: ФСИ, Сколково, ДЗМ)</t>
  </si>
  <si>
    <t>ПАРАМЕТРЫ ОЦЕНКИ И ВЫХОДА</t>
  </si>
  <si>
    <t>Pre-money до Раунда 1 (вкл. ИС ~45 млн ₽, оценка лист «ИС_Оценка»)</t>
  </si>
  <si>
    <t>Pre-money до Раунда 2</t>
  </si>
  <si>
    <t>Ожидаемая EBITDA 2031 (рост к 2030)</t>
  </si>
  <si>
    <t>Множитель EBITDA при выходе (стратег. покупатель)</t>
  </si>
  <si>
    <t>x</t>
  </si>
  <si>
    <t>Ставка дисконтирования для NPV инвестора</t>
  </si>
  <si>
    <t>РЫНОК: источники и ключевые данные (собственный анализ, без опоры на внутренние оценки исходной презентации)</t>
  </si>
  <si>
    <t>Значение</t>
  </si>
  <si>
    <t>Источник / метод</t>
  </si>
  <si>
    <t>Рождений в РФ, 2024</t>
  </si>
  <si>
    <t>~1,22 млн чел.</t>
  </si>
  <si>
    <t>Росстат (оперативные данные по итогам 2024 г.)</t>
  </si>
  <si>
    <t>Суммарный коэффициент рождаемости (СКР), РФ</t>
  </si>
  <si>
    <t>~1,4</t>
  </si>
  <si>
    <t>Росстат, 2023–2024 гг.</t>
  </si>
  <si>
    <t>Инфертильность в мире</t>
  </si>
  <si>
    <t>~15–17% пар</t>
  </si>
  <si>
    <t>ВОЗ (оценки по распространённости бесплодия)</t>
  </si>
  <si>
    <t>Циклы ВРТ в РФ в год</t>
  </si>
  <si>
    <t>~120–130 тыс.</t>
  </si>
  <si>
    <t>Федеральный регистр ВРТ Минздрава РФ (публичные оценки 2022–2024 гг.); рост ~5–7%/год</t>
  </si>
  <si>
    <t>Доля циклов по ОМС</t>
  </si>
  <si>
    <t>~50–60%</t>
  </si>
  <si>
    <t>Публичные заявления МЗ РФ о квотах ОМС на ВРТ</t>
  </si>
  <si>
    <t>Доля Москвы в циклах РФ</t>
  </si>
  <si>
    <t>~20–25%</t>
  </si>
  <si>
    <t>Экспертная оценка: концентрация федеральных центров ВРТ и НМИЦ; ~25–30 тыс. циклов/год</t>
  </si>
  <si>
    <t>Средняя стоимость коммерческого цикла (Москва)</t>
  </si>
  <si>
    <t>250–450 тыс. ₽</t>
  </si>
  <si>
    <t>Открытые прайсы клиник (НМИЦ, коммерческие центры), 2024–2025 гг.</t>
  </si>
  <si>
    <t>Средняя стоимость цикла по ОМС (тариф)</t>
  </si>
  <si>
    <t>130–200 тыс. ₽</t>
  </si>
  <si>
    <t>Региональные тарифы ОМС на ВРТ (открытые данные ФОМС/рег. тарифы)</t>
  </si>
  <si>
    <t>Клинический рынок ВРТ РФ (TAM клин.)</t>
  </si>
  <si>
    <t>~25–30 млрд ₽/год</t>
  </si>
  <si>
    <t>Расчёт: ~125 тыс. циклов × ~200 тыс. ₽ средневзвешенно (ОМС+коммерция)</t>
  </si>
  <si>
    <t>SAM — софт и аналитика для ВРТ (софт-часть от чека ~8–10%)</t>
  </si>
  <si>
    <t>~2–3 млрд ₽/год</t>
  </si>
  <si>
    <t>Экспертная оценка доли ИТ/аналитики в стоимости цикла</t>
  </si>
  <si>
    <t>SOM VitaGen к 2030 (модель)</t>
  </si>
  <si>
    <t>390 млн ₽/год</t>
  </si>
  <si>
    <t>Расчёт модели; ~13–17% SAM РФ + ранний APAC</t>
  </si>
  <si>
    <t>Циклы ВРТ в Китае в год</t>
  </si>
  <si>
    <t>~700–800 тыс.</t>
  </si>
  <si>
    <t>Международные отраслевые оценки (крупнейший в мире рынок ВРТ)</t>
  </si>
  <si>
    <t>Инфертильность в Китае</t>
  </si>
  <si>
    <t>~18%</t>
  </si>
  <si>
    <t>Оценки Минздрава КНР (цитируются в отраслевой прессе)</t>
  </si>
  <si>
    <t>Рынок Китая (клинический)</t>
  </si>
  <si>
    <t>~$15–20 млрд/год</t>
  </si>
  <si>
    <t>Отраслевые оценки; рост двузначными темпами</t>
  </si>
  <si>
    <t>Глобальный рынок ИИ в репродуктивной медицине</t>
  </si>
  <si>
    <t>~$0,8–1,2 млрд (2025), CAGR 20–25%</t>
  </si>
  <si>
    <t>Международные отраслевые обзоры medtech-AI</t>
  </si>
  <si>
    <t>Нормативка РФ для ИИ-МИ</t>
  </si>
  <si>
    <t>Порядок регистрации МИ с ПО (приказы МЗ РФ), 152-ФЗ для ПДн</t>
  </si>
  <si>
    <t>Минздрав РФ, Росздравнадзор; режим «песочницы» для ИИ-МИ заявлен на уровне ДЗМ/МЗ</t>
  </si>
  <si>
    <t>Китай: регистрация ПО-МИ</t>
  </si>
  <si>
    <t>NMPA, Class II (12–18 мес.)</t>
  </si>
  <si>
    <t>NMPA (регулятор КНР); для инновационных — пилотная зона Боао Лэчэн</t>
  </si>
  <si>
    <t>Хайнань: льготный КН для поощряемых отраслей</t>
  </si>
  <si>
    <t>15%</t>
  </si>
  <si>
    <t>Политика зоны свободной торговли Хайнань (СПК Госсовета КНР), в т.ч. высокие технологии/здравоохранение</t>
  </si>
  <si>
    <t>TAM / SAM / SOM (РФ + АТР)</t>
  </si>
  <si>
    <t>TAM РФ (клинический рынок ВРТ)</t>
  </si>
  <si>
    <t>25–30 млрд ₽/год</t>
  </si>
  <si>
    <t>SAM РФ (софт/аналитика ВРТ)</t>
  </si>
  <si>
    <t>2–3 млрд ₽/год</t>
  </si>
  <si>
    <t>SOM VitaGen РФ к 2030</t>
  </si>
  <si>
    <t>390 млн ₽/год (модель)</t>
  </si>
  <si>
    <t>TAM Китай/АТР (клинический)</t>
  </si>
  <si>
    <t>SAM Китай (софт/аналитика)</t>
  </si>
  <si>
    <t>~$1–2 млрд/год (эксп. оценка)</t>
  </si>
  <si>
    <t>SOM VitaGen APAC к 2030</t>
  </si>
  <si>
    <t>35 млн ₽/год (ранний вход, пилотный масштаб)</t>
  </si>
  <si>
    <t>ВЫРУЧКА по направлениям, млн ₽ (с коэффициентом сценария)</t>
  </si>
  <si>
    <t>Клиническая подписка (SaaS + базовая аналитика)</t>
  </si>
  <si>
    <t>Доп. модули (ниPGT-A, эндометрий, мужской геном, перинатология)</t>
  </si>
  <si>
    <t>Матчинг донорство / суррогатное материнство</t>
  </si>
  <si>
    <t>B2G-аналитика для регионов (CLBR / стоимость живорождения)</t>
  </si>
  <si>
    <t>Международное направление: Китай (Хайнань) и АТР</t>
  </si>
  <si>
    <t>ИТОГО ВЫРУЧКА</t>
  </si>
  <si>
    <t>Проверка APAC: 2029–2030 — пилот и запуск WFOE в Хайнане (см. лист «Китай_АТР»)</t>
  </si>
  <si>
    <t>ОПЕРАЦИОННЫЕ РАСХОДЫ, млн ₽ (с коэффициентом сценария)</t>
  </si>
  <si>
    <t>ФОТ с отчислениями</t>
  </si>
  <si>
    <t>НИОКР (подряды, данные)</t>
  </si>
  <si>
    <t>Маркетинг и продажи</t>
  </si>
  <si>
    <t>Инфраструктура / облако</t>
  </si>
  <si>
    <t>Административные и юридические</t>
  </si>
  <si>
    <t>Регуляторика РФ + NMPA</t>
  </si>
  <si>
    <t>ИТОГО РАСХОДЫ</t>
  </si>
  <si>
    <t>ОТЧЁТ О ПРИБЫЛЯХ И УБЫТКАХ (усиленный), млн ₽</t>
  </si>
  <si>
    <t>Выручка</t>
  </si>
  <si>
    <t>Операционные расходы</t>
  </si>
  <si>
    <t>EBITDA</t>
  </si>
  <si>
    <t>EBITDA-маржа</t>
  </si>
  <si>
    <t>Налог УСН «доходы» (5%)</t>
  </si>
  <si>
    <t>Чистая прибыль</t>
  </si>
  <si>
    <t>Чистая маржа</t>
  </si>
  <si>
    <t>ОТЧЁТ О ДВИЖЕНИИ ДЕНЕЖНЫХ СРЕДСТВ (упрощённый), млн ₽</t>
  </si>
  <si>
    <t>Остаток на начало года</t>
  </si>
  <si>
    <t>Операционный денежный поток (=EBITDA, прокси)</t>
  </si>
  <si>
    <t>Поступления: Раунд 1 (Seed)</t>
  </si>
  <si>
    <t>Поступления: Раунд 2 (Series A)</t>
  </si>
  <si>
    <t>Поступления: гранты (non-dilutive)</t>
  </si>
  <si>
    <t>Остаток на конец года</t>
  </si>
  <si>
    <t>Комментарий: пик дефицита — конец 2027 г.; покрывается Раундами 1+2 (77,5 млн ₽) с резервом; выход в плюс — 2029 г.</t>
  </si>
  <si>
    <t>СДЕЛКА, CAP TABLE И ДОХОДНОСТЬ ИНВЕСТОРА</t>
  </si>
  <si>
    <t>Раунд 1 — Seed (2026)</t>
  </si>
  <si>
    <t>Pre-money (вкл. оценку ИС 45 млн ₽)</t>
  </si>
  <si>
    <t>Сумма инвестиций</t>
  </si>
  <si>
    <t>Post-money</t>
  </si>
  <si>
    <t>Доля инвестора 1</t>
  </si>
  <si>
    <t>Формат</t>
  </si>
  <si>
    <t>Привилегированные акции, ликвидационная привилегия 1,5×</t>
  </si>
  <si>
    <t>Раунд 2 — Series A (2027)</t>
  </si>
  <si>
    <t>Pre-money</t>
  </si>
  <si>
    <t>Доля инвестора 2</t>
  </si>
  <si>
    <t>CAP TABLE после Раунда 2 (доля в капитале)</t>
  </si>
  <si>
    <t>Участник</t>
  </si>
  <si>
    <t>Доля</t>
  </si>
  <si>
    <t>Основатель / ООО «МедТехПрима» (обыкновенные)</t>
  </si>
  <si>
    <t>Опционный пул для команды (12% пост-инвест, упрощённо)</t>
  </si>
  <si>
    <t>Инвестор 1 (привилегированные, Раунд 1)</t>
  </si>
  <si>
    <t>Инвестор 2 (привилегированные, Раунд 2)</t>
  </si>
  <si>
    <t>ИТОГО</t>
  </si>
  <si>
    <t>ВЫХОД (2031, стратегический покупатель)</t>
  </si>
  <si>
    <t>EBITDA 2031</t>
  </si>
  <si>
    <t>Множитель</t>
  </si>
  <si>
    <t>Стоимость компании при выходе</t>
  </si>
  <si>
    <t>Выплата инвестору 1 (пропорционально доле)</t>
  </si>
  <si>
    <t>Выплата инвестору 2 (пропорционально доле)</t>
  </si>
  <si>
    <t>Кратность для инвестора 1</t>
  </si>
  <si>
    <t>Кратность для инвестора 2</t>
  </si>
  <si>
    <t>ДЕНЕЖНЫЕ ПОТОКИ ИНВЕСТОРА И ДОХОДНОСТЬ (годовые)</t>
  </si>
  <si>
    <t>Год</t>
  </si>
  <si>
    <t>Инвестор 1</t>
  </si>
  <si>
    <t>Инвестор 2</t>
  </si>
  <si>
    <t>IRR инвестора 1 (2026→2031)</t>
  </si>
  <si>
    <t>IRR инвестора 2 (2027→2031)</t>
  </si>
  <si>
    <t>NPV инвестора 1 при ставке 25%</t>
  </si>
  <si>
    <t>Срок окупаемости инвестора 1</t>
  </si>
  <si>
    <t>к 2031 (выход); операционная безубыточность проекта — 2029</t>
  </si>
  <si>
    <t>ЧУВСТВИТЕЛЬНОСТЬ: цена выхода (множитель EBITDA 2031 = 180 млн ₽)</t>
  </si>
  <si>
    <t>Стоимость при выходе</t>
  </si>
  <si>
    <t>Выплата инв. 1</t>
  </si>
  <si>
    <t>Кратность инв. 1</t>
  </si>
  <si>
    <t>Структура юрлиц (рекомендация)</t>
  </si>
  <si>
    <t>1) ООО «МедТехПрима» — существующий холдинг (остальные проекты), вносит ИС VitaGen в УК нового АО по отчёту оценщика.
2) Непубличное АО «ВИТА ГЕН АИ» — проектная компания: обыкновенные (основатель/МедТехПрима) + привилегированные (инвесторы), акционерное соглашение (tag-along, drag-along, право первой продажи, вето на продажу ИС), опционный пул 12%.
3) VitaGen AI (Hainan) Co., Ltd — WFOE в зоне свободной торговли Хайнань (льготный КН 15%, пилот Боао Лэчэн), дочерняя компания международного направления; геномные данные по PIPL не покидают КНР.</t>
  </si>
  <si>
    <t>ИНТЕЛЛЕКТУАЛЬНАЯ СОБСТВЕННОСТЬ (РИДы) И ЕЁ ОЦЕНКА — вклад в стоимость компании</t>
  </si>
  <si>
    <t>№</t>
  </si>
  <si>
    <t>РИД / объект</t>
  </si>
  <si>
    <t>Статус</t>
  </si>
  <si>
    <t>Накопленные затраты, млн ₽</t>
  </si>
  <si>
    <t>Рыночная оценка, млн ₽</t>
  </si>
  <si>
    <t>Комментарий</t>
  </si>
  <si>
    <t>Свидетельство о включении в реестр РИД №1440-028-537 от 30.03.2026 (алгоритм/программа прогноза)</t>
  </si>
  <si>
    <t>Получено</t>
  </si>
  <si>
    <t>12–18</t>
  </si>
  <si>
    <t>Правообладатель на старте — Петрушина М.В./МедТехПрима; планируется передача в АО «ВИТА ГЕН АИ» вкладом в УК</t>
  </si>
  <si>
    <t>ПОЭВМ «VitaGen-AI Core» — мультимодальная платформа (5 уровней данных)</t>
  </si>
  <si>
    <t>Разработка / подача в ЕРИР 2026</t>
  </si>
  <si>
    <t>20–28</t>
  </si>
  <si>
    <t>Ключевой актив; эксклюзивная лицензия или вклад в УК</t>
  </si>
  <si>
    <t>ПОЭВМ модулей: эндометрий, niPGT-A, мужской геном, перинатальные прогнозы</t>
  </si>
  <si>
    <t>План: заявки 2027–2028</t>
  </si>
  <si>
    <t>Расширение линейки — рост ARPU</t>
  </si>
  <si>
    <t>Патентные заявки на изобретения: способ прогноза с интеграцией DFI; иммунный матчинг KIR/HLA-C</t>
  </si>
  <si>
    <t>План: подача 2026–2027</t>
  </si>
  <si>
    <t>10–15</t>
  </si>
  <si>
    <t>Прорывные компоненты; патентная защита повышает barrier to entry</t>
  </si>
  <si>
    <t>Know-how: обезличенный клинический датасет, методологии аннотации, чек-листы готовности данных</t>
  </si>
  <si>
    <t>Формируется в пилоте</t>
  </si>
  <si>
    <t>8–12</t>
  </si>
  <si>
    <t>Датасет — стратегический актив (защита: 152-ФЗ, договоры с клиниками)</t>
  </si>
  <si>
    <t>Товарный знак VitaGen</t>
  </si>
  <si>
    <t>Заявка</t>
  </si>
  <si>
    <t>1–2</t>
  </si>
  <si>
    <t>Бренд для B2B/B2G и экспорта</t>
  </si>
  <si>
    <t>53–93 (диапазон)</t>
  </si>
  <si>
    <t>МЕТОДЫ ОЦЕНКИ (три подхода)</t>
  </si>
  <si>
    <t>Затратный подход</t>
  </si>
  <si>
    <t>Накопленные затраты на НИОКР + амортизация риска неуспеха: ~40–45 млн ₽</t>
  </si>
  <si>
    <t>Рыночный подход (сделки лицензирования medtech-AI)</t>
  </si>
  <si>
    <t>Роялти 5–8% от выручки, дисконтирование потоков: ~55–75 млн ₽</t>
  </si>
  <si>
    <t>Договорной / доходный (DCF доли ИС в стоимости проекта)</t>
  </si>
  <si>
    <t>Доля ИС в стоимости проекта 30–40%: ~45–60 млн ₽</t>
  </si>
  <si>
    <t>Принятая к вкладу в УК оценка (консервативная)</t>
  </si>
  <si>
    <t>45 млн ₽ — по отчёту независимого оценщика (обязателен: ст. 34 ФЗ «Об АО», 273-ФЗ «Об оценочной деятельности»)</t>
  </si>
  <si>
    <t>Вклад ИС в АО: МедТехПрима вносит РИДы в УК АО «ВИТА ГЕН АИ» по оценке 45 млн ₽ → доля холдинга в УК до раундов. Инвестор получает гарантии: ИС принадлежит проектной компании (не холдингу), эксклюзивно, без обременений.</t>
  </si>
  <si>
    <t>МЕЖДУНАРОДНОЕ НАПРАВЛЕНИЕ: КИТАЙ (ХАЙНАНЬ) И АЗИАТСКО-ТИХООКЕАНСКИЙ РЫНОК</t>
  </si>
  <si>
    <t>Элемент</t>
  </si>
  <si>
    <t>Содержание</t>
  </si>
  <si>
    <t>Юридическая форма</t>
  </si>
  <si>
    <t>VitaGen AI (Hainan) Co., Ltd — wholly foreign-owned enterprise (WFOE) в зоне свободной торговли Хайнань; опционально промежуточный холд-ко в Гонконге для структурирования</t>
  </si>
  <si>
    <t>Зона/режим</t>
  </si>
  <si>
    <t>Хайнаньская зона свободной торговли (политика СПК Госсовета КНР): льготный корпоративный налог 15% для отраслей по списку поощряемых (высокие технологии, здравоохранение); пилотная зона Боао Лэчэн — упрощённый доступ инновационных медизделий</t>
  </si>
  <si>
    <t>Модель входа</t>
  </si>
  <si>
    <t>Лицензия ПО + revenue share с клиниками-партнёрами/дистрибьютором; опционально JV с местной medtech/лабораторией на позднем этапе</t>
  </si>
  <si>
    <t>Регуляторика</t>
  </si>
  <si>
    <t>NMPA: регистрация ПО как медицинского изделия II класса (12–18 мес.); в Боао Лэчэн — пилотный режим допуска инновационных устройств</t>
  </si>
  <si>
    <t>Данные (PIPL)</t>
  </si>
  <si>
    <t>Геномные и персональные данные пациентов не покидают КНР: локальное размещение модели (облако КНР), обучение/дообучение на локальных данных; экспорт только агрегированных метрик</t>
  </si>
  <si>
    <t>Команда</t>
  </si>
  <si>
    <t>2029: country manager + регуляторик; 2030: продажи/партнёрства (4–6 человек на старте)</t>
  </si>
  <si>
    <t>Этапы</t>
  </si>
  <si>
    <t>2028 — gap-анализ NMPA, поиск партнёров; 2029 — регистрация WFOE, 1–2 пилотных партнёра, выручка ~10 млн ₽; 2030 — NMPA-файлинг/регистрация, 4–6 партнёров, выручка ~35 млн ₽</t>
  </si>
  <si>
    <t>Выручка в модели</t>
  </si>
  <si>
    <t>2029: 10 млн ₽; 2030: 35 млн ₽ (лист «Выручка», строка «Международное направление»); далее драйвер роста пост-2030</t>
  </si>
  <si>
    <t>Пайплайн АТР после Китая</t>
  </si>
  <si>
    <t>Индия (~250 тыс. циклов/год, отраслевые оценки), Япония, Южная Корея, Сингапур, Индонезия, Таиланд — приоритизация после отработки китайского play book</t>
  </si>
  <si>
    <t>Риски</t>
  </si>
  <si>
    <t>Регуляторные задержки NMPA; геополитика; конкуренция локальных игроков; PIPL-требования; конвертация/репатриация прибыли (через HK/дивиденды)</t>
  </si>
  <si>
    <t>Налоговая оптимизация</t>
  </si>
  <si>
    <t>Хайнань 15% КН; при двустороннем соглашении РФ-КНР — снижение удержания; реинвестирование в рост АТР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</si>
</sst>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"/>
    <numFmt numFmtId="165" formatCode="0&quot;%&quot;"/>
    <numFmt numFmtId="166" formatCode="0.0%"/>
    <numFmt numFmtId="167" formatCode="0.0\x"/>
  </numFmts>
  <fonts count="7" x14ac:knownFonts="1">
    <font>
      <sz val="11"/>
      <color theme="1"/>
      <name val="Calibri"/>
      <family val="2"/>
      <scheme val="minor"/>
    </font>
    <font>
      <b/>
      <sz val="13"/>
      <color rgb="FF0B3D5C"/>
      <name val="Calibri"/>
    </font>
    <font>
      <i/>
      <sz val="9"/>
      <color rgb="FF666666"/>
      <name val="Calibri"/>
    </font>
    <font>
      <b/>
      <sz val="11"/>
      <name val="Calibri"/>
    </font>
    <font>
      <b/>
      <sz val="12"/>
      <color rgb="FFFFFFFF"/>
      <name val="Calibri"/>
    </font>
    <font>
      <b/>
      <sz val="11"/>
      <color rgb="FF0B3D5C"/>
      <name val="Calibri"/>
    </font>
    <font>
      <b/>
      <sz val="12"/>
      <color rgb="FF0B3D5C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0B3D5C"/>
      </patternFill>
    </fill>
    <fill>
      <patternFill patternType="solid">
        <fgColor rgb="FFD6EAF5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0" borderId="0" xfId="0" applyFont="1"/>
    <xf numFmtId="0" fontId="4" fillId="3" borderId="0" xfId="0" applyFont="1" applyFill="1" applyAlignment="1">
      <alignment horizontal="center"/>
    </xf>
    <xf numFmtId="0" fontId="5" fillId="4" borderId="0" xfId="0" applyFont="1" applyFill="1"/>
    <xf numFmtId="0" fontId="0" fillId="4" borderId="0" xfId="0" applyFill="1"/>
    <xf numFmtId="164" fontId="0" fillId="2" borderId="1" xfId="0" applyNumberFormat="1" applyFill="1" applyBorder="1"/>
    <xf numFmtId="3" fontId="0" fillId="2" borderId="1" xfId="0" applyNumberFormat="1" applyFill="1" applyBorder="1"/>
    <xf numFmtId="165" fontId="0" fillId="2" borderId="1" xfId="0" applyNumberFormat="1" applyFill="1" applyBorder="1"/>
    <xf numFmtId="0" fontId="5" fillId="0" borderId="0" xfId="0" applyFont="1"/>
    <xf numFmtId="0" fontId="0" fillId="2" borderId="0" xfId="0" applyFill="1"/>
    <xf numFmtId="9" fontId="0" fillId="2" borderId="0" xfId="0" applyNumberFormat="1" applyFill="1"/>
    <xf numFmtId="0" fontId="6" fillId="0" borderId="0" xfId="0" applyFont="1"/>
    <xf numFmtId="0" fontId="4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64" fontId="0" fillId="0" borderId="1" xfId="0" applyNumberFormat="1" applyBorder="1"/>
    <xf numFmtId="164" fontId="3" fillId="0" borderId="1" xfId="0" applyNumberFormat="1" applyFont="1" applyBorder="1"/>
    <xf numFmtId="166" fontId="0" fillId="0" borderId="0" xfId="0" applyNumberFormat="1"/>
    <xf numFmtId="166" fontId="3" fillId="0" borderId="0" xfId="0" applyNumberFormat="1" applyFont="1"/>
    <xf numFmtId="3" fontId="0" fillId="0" borderId="0" xfId="0" applyNumberFormat="1"/>
    <xf numFmtId="167" fontId="0" fillId="0" borderId="0" xfId="0" applyNumberFormat="1"/>
    <xf numFmtId="164" fontId="0" fillId="0" borderId="0" xfId="0" applyNumberFormat="1"/>
    <xf numFmtId="9" fontId="0" fillId="0" borderId="0" xfId="0" applyNumberFormat="1"/>
    <xf numFmtId="0" fontId="0" fillId="0" borderId="1" xfId="0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tabSelected="1" workbookViewId="0"/>
  </sheetViews>
  <sheetFormatPr defaultRowHeight="14.4" x14ac:dyDescent="0.3"/>
  <cols>
    <col min="1" max="1" width="62" customWidth="1"/>
    <col min="2" max="7" width="12" customWidth="1"/>
  </cols>
  <sheetData>
    <row r="1" spans="1:7" ht="17.399999999999999" x14ac:dyDescent="0.35">
      <c r="A1" s="1" t="s">
        <v>0</v>
      </c>
    </row>
    <row r="2" spans="1:7" x14ac:dyDescent="0.3">
      <c r="A2" s="2" t="s">
        <v>1</v>
      </c>
    </row>
    <row r="4" spans="1:7" x14ac:dyDescent="0.3">
      <c r="A4" t="s">
        <v>2</v>
      </c>
      <c r="C4" s="3">
        <v>1</v>
      </c>
    </row>
    <row r="5" spans="1:7" x14ac:dyDescent="0.3">
      <c r="A5" t="s">
        <v>3</v>
      </c>
      <c r="C5">
        <f>IF(C4=0,0.75,IF(C4=1,1,1.3))</f>
        <v>1</v>
      </c>
    </row>
    <row r="6" spans="1:7" x14ac:dyDescent="0.3">
      <c r="A6" t="s">
        <v>4</v>
      </c>
      <c r="C6">
        <f>IF(C4=0,1.12,IF(C4=1,1,0.95))</f>
        <v>1</v>
      </c>
    </row>
    <row r="8" spans="1:7" ht="15.6" x14ac:dyDescent="0.3">
      <c r="A8" s="4" t="s">
        <v>5</v>
      </c>
      <c r="B8" s="4" t="s">
        <v>6</v>
      </c>
      <c r="C8" s="5">
        <v>2026</v>
      </c>
      <c r="D8" s="5">
        <v>2027</v>
      </c>
      <c r="E8" s="5">
        <v>2028</v>
      </c>
      <c r="F8" s="5">
        <v>2029</v>
      </c>
      <c r="G8" s="5">
        <v>2030</v>
      </c>
    </row>
    <row r="10" spans="1:7" x14ac:dyDescent="0.3">
      <c r="A10" s="6" t="s">
        <v>7</v>
      </c>
      <c r="B10" s="7"/>
      <c r="C10" s="7"/>
      <c r="D10" s="7"/>
      <c r="E10" s="7"/>
      <c r="F10" s="7"/>
      <c r="G10" s="7"/>
    </row>
    <row r="11" spans="1:7" x14ac:dyDescent="0.3">
      <c r="A11" t="s">
        <v>8</v>
      </c>
      <c r="B11" t="s">
        <v>9</v>
      </c>
      <c r="C11" s="8">
        <v>2.2000000000000002</v>
      </c>
      <c r="D11" s="8">
        <v>2.2999999999999998</v>
      </c>
      <c r="E11" s="8">
        <v>2.5</v>
      </c>
      <c r="F11" s="8">
        <v>2.6</v>
      </c>
      <c r="G11" s="8">
        <v>2.8</v>
      </c>
    </row>
    <row r="12" spans="1:7" x14ac:dyDescent="0.3">
      <c r="A12" t="s">
        <v>10</v>
      </c>
      <c r="B12" t="s">
        <v>9</v>
      </c>
      <c r="C12" s="8">
        <v>0.15</v>
      </c>
      <c r="D12" s="8">
        <v>0.35</v>
      </c>
      <c r="E12" s="8">
        <v>0.6</v>
      </c>
      <c r="F12" s="8">
        <v>0.8</v>
      </c>
      <c r="G12" s="8">
        <v>1</v>
      </c>
    </row>
    <row r="13" spans="1:7" x14ac:dyDescent="0.3">
      <c r="A13" t="s">
        <v>11</v>
      </c>
      <c r="B13" t="s">
        <v>12</v>
      </c>
      <c r="C13" s="8">
        <v>0.18</v>
      </c>
      <c r="D13" s="8">
        <v>0.18</v>
      </c>
      <c r="E13" s="8">
        <v>0.18</v>
      </c>
      <c r="F13" s="8">
        <v>0.18</v>
      </c>
      <c r="G13" s="8">
        <v>0.18</v>
      </c>
    </row>
    <row r="14" spans="1:7" x14ac:dyDescent="0.3">
      <c r="A14" t="s">
        <v>13</v>
      </c>
      <c r="B14" t="s">
        <v>9</v>
      </c>
      <c r="C14" s="8">
        <v>4</v>
      </c>
      <c r="D14" s="8">
        <v>4.5</v>
      </c>
      <c r="E14" s="8">
        <v>5</v>
      </c>
      <c r="F14" s="8">
        <v>5.5</v>
      </c>
      <c r="G14" s="8">
        <v>6</v>
      </c>
    </row>
    <row r="15" spans="1:7" x14ac:dyDescent="0.3">
      <c r="A15" t="s">
        <v>14</v>
      </c>
      <c r="B15" t="s">
        <v>9</v>
      </c>
      <c r="C15" s="8">
        <v>8</v>
      </c>
      <c r="D15" s="8">
        <v>8</v>
      </c>
      <c r="E15" s="8">
        <v>8.5</v>
      </c>
      <c r="F15" s="8">
        <v>8.5</v>
      </c>
      <c r="G15" s="8">
        <v>8.5</v>
      </c>
    </row>
    <row r="17" spans="1:7" x14ac:dyDescent="0.3">
      <c r="A17" s="6" t="s">
        <v>15</v>
      </c>
      <c r="B17" s="7"/>
      <c r="C17" s="7"/>
      <c r="D17" s="7"/>
      <c r="E17" s="7"/>
      <c r="F17" s="7"/>
      <c r="G17" s="7"/>
    </row>
    <row r="18" spans="1:7" x14ac:dyDescent="0.3">
      <c r="A18" t="s">
        <v>16</v>
      </c>
      <c r="B18" t="s">
        <v>17</v>
      </c>
      <c r="C18" s="9">
        <v>3</v>
      </c>
      <c r="D18" s="9">
        <v>12</v>
      </c>
      <c r="E18" s="9">
        <v>32</v>
      </c>
      <c r="F18" s="9">
        <v>55</v>
      </c>
      <c r="G18" s="9">
        <v>85</v>
      </c>
    </row>
    <row r="19" spans="1:7" x14ac:dyDescent="0.3">
      <c r="A19" t="s">
        <v>18</v>
      </c>
      <c r="B19" t="s">
        <v>17</v>
      </c>
      <c r="C19" s="9">
        <v>0</v>
      </c>
      <c r="D19" s="9">
        <v>1</v>
      </c>
      <c r="E19" s="9">
        <v>2</v>
      </c>
      <c r="F19" s="9">
        <v>3</v>
      </c>
      <c r="G19" s="9">
        <v>5</v>
      </c>
    </row>
    <row r="20" spans="1:7" x14ac:dyDescent="0.3">
      <c r="A20" t="s">
        <v>19</v>
      </c>
      <c r="B20" t="s">
        <v>20</v>
      </c>
      <c r="C20" s="9">
        <v>0</v>
      </c>
      <c r="D20" s="9">
        <v>8</v>
      </c>
      <c r="E20" s="9">
        <v>25</v>
      </c>
      <c r="F20" s="9">
        <v>45</v>
      </c>
      <c r="G20" s="9">
        <v>70</v>
      </c>
    </row>
    <row r="21" spans="1:7" x14ac:dyDescent="0.3">
      <c r="A21" t="s">
        <v>21</v>
      </c>
      <c r="B21" t="s">
        <v>22</v>
      </c>
      <c r="C21" s="8">
        <v>0</v>
      </c>
      <c r="D21" s="8">
        <v>0</v>
      </c>
      <c r="E21" s="8">
        <v>0</v>
      </c>
      <c r="F21" s="8">
        <v>1</v>
      </c>
      <c r="G21" s="8">
        <v>3</v>
      </c>
    </row>
    <row r="23" spans="1:7" x14ac:dyDescent="0.3">
      <c r="A23" s="6" t="s">
        <v>23</v>
      </c>
      <c r="B23" s="7"/>
      <c r="C23" s="7"/>
      <c r="D23" s="7"/>
      <c r="E23" s="7"/>
      <c r="F23" s="7"/>
      <c r="G23" s="7"/>
    </row>
    <row r="24" spans="1:7" x14ac:dyDescent="0.3">
      <c r="A24" t="s">
        <v>24</v>
      </c>
      <c r="B24" t="s">
        <v>12</v>
      </c>
      <c r="C24" s="8">
        <v>24</v>
      </c>
      <c r="D24" s="8">
        <v>40</v>
      </c>
      <c r="E24" s="8">
        <v>62</v>
      </c>
      <c r="F24" s="8">
        <v>95</v>
      </c>
      <c r="G24" s="8">
        <v>140</v>
      </c>
    </row>
    <row r="25" spans="1:7" x14ac:dyDescent="0.3">
      <c r="A25" t="s">
        <v>25</v>
      </c>
      <c r="B25" t="s">
        <v>12</v>
      </c>
      <c r="C25" s="8">
        <v>10</v>
      </c>
      <c r="D25" s="8">
        <v>12</v>
      </c>
      <c r="E25" s="8">
        <v>15</v>
      </c>
      <c r="F25" s="8">
        <v>20</v>
      </c>
      <c r="G25" s="8">
        <v>28</v>
      </c>
    </row>
    <row r="26" spans="1:7" x14ac:dyDescent="0.3">
      <c r="A26" t="s">
        <v>26</v>
      </c>
      <c r="B26" t="s">
        <v>12</v>
      </c>
      <c r="C26" s="8">
        <v>2</v>
      </c>
      <c r="D26" s="8">
        <v>5</v>
      </c>
      <c r="E26" s="8">
        <v>10</v>
      </c>
      <c r="F26" s="8">
        <v>16</v>
      </c>
      <c r="G26" s="8">
        <v>24</v>
      </c>
    </row>
    <row r="27" spans="1:7" x14ac:dyDescent="0.3">
      <c r="A27" t="s">
        <v>27</v>
      </c>
      <c r="B27" t="s">
        <v>12</v>
      </c>
      <c r="C27" s="8">
        <v>2</v>
      </c>
      <c r="D27" s="8">
        <v>4</v>
      </c>
      <c r="E27" s="8">
        <v>9</v>
      </c>
      <c r="F27" s="8">
        <v>18</v>
      </c>
      <c r="G27" s="8">
        <v>30</v>
      </c>
    </row>
    <row r="28" spans="1:7" x14ac:dyDescent="0.3">
      <c r="A28" t="s">
        <v>28</v>
      </c>
      <c r="B28" t="s">
        <v>12</v>
      </c>
      <c r="C28" s="8">
        <v>4</v>
      </c>
      <c r="D28" s="8">
        <v>6</v>
      </c>
      <c r="E28" s="8">
        <v>8</v>
      </c>
      <c r="F28" s="8">
        <v>11</v>
      </c>
      <c r="G28" s="8">
        <v>15</v>
      </c>
    </row>
    <row r="29" spans="1:7" x14ac:dyDescent="0.3">
      <c r="A29" t="s">
        <v>29</v>
      </c>
      <c r="B29" t="s">
        <v>12</v>
      </c>
      <c r="C29" s="8">
        <v>4.5</v>
      </c>
      <c r="D29" s="8">
        <v>3.5</v>
      </c>
      <c r="E29" s="8">
        <v>2.5</v>
      </c>
      <c r="F29" s="8">
        <v>7</v>
      </c>
      <c r="G29" s="8">
        <v>8</v>
      </c>
    </row>
    <row r="31" spans="1:7" x14ac:dyDescent="0.3">
      <c r="A31" s="6" t="s">
        <v>30</v>
      </c>
      <c r="B31" s="7"/>
      <c r="C31" s="7"/>
      <c r="D31" s="7"/>
      <c r="E31" s="7"/>
      <c r="F31" s="7"/>
      <c r="G31" s="7"/>
    </row>
    <row r="32" spans="1:7" x14ac:dyDescent="0.3">
      <c r="A32" t="s">
        <v>31</v>
      </c>
      <c r="B32" t="s">
        <v>32</v>
      </c>
      <c r="C32" s="10">
        <v>5</v>
      </c>
      <c r="D32" s="10">
        <v>5</v>
      </c>
      <c r="E32" s="10">
        <v>5</v>
      </c>
      <c r="F32" s="10">
        <v>5</v>
      </c>
      <c r="G32" s="10">
        <v>5</v>
      </c>
    </row>
    <row r="33" spans="1:7" x14ac:dyDescent="0.3">
      <c r="A33" t="s">
        <v>33</v>
      </c>
      <c r="B33" t="s">
        <v>12</v>
      </c>
      <c r="C33" s="8">
        <v>35</v>
      </c>
      <c r="D33" s="8">
        <v>0</v>
      </c>
      <c r="E33" s="8">
        <v>0</v>
      </c>
      <c r="F33" s="8">
        <v>0</v>
      </c>
      <c r="G33" s="8">
        <v>0</v>
      </c>
    </row>
    <row r="34" spans="1:7" x14ac:dyDescent="0.3">
      <c r="A34" t="s">
        <v>34</v>
      </c>
      <c r="B34" t="s">
        <v>12</v>
      </c>
      <c r="C34" s="8">
        <v>0</v>
      </c>
      <c r="D34" s="8">
        <v>45</v>
      </c>
      <c r="E34" s="8">
        <v>0</v>
      </c>
      <c r="F34" s="8">
        <v>0</v>
      </c>
      <c r="G34" s="8">
        <v>0</v>
      </c>
    </row>
    <row r="35" spans="1:7" x14ac:dyDescent="0.3">
      <c r="A35" t="s">
        <v>35</v>
      </c>
      <c r="B35" t="s">
        <v>12</v>
      </c>
      <c r="C35" s="8">
        <v>5</v>
      </c>
      <c r="D35" s="8">
        <v>8</v>
      </c>
      <c r="E35" s="8">
        <v>6</v>
      </c>
      <c r="F35" s="8">
        <v>4</v>
      </c>
      <c r="G35" s="8">
        <v>2</v>
      </c>
    </row>
    <row r="37" spans="1:7" x14ac:dyDescent="0.3">
      <c r="A37" s="11" t="s">
        <v>36</v>
      </c>
    </row>
    <row r="38" spans="1:7" x14ac:dyDescent="0.3">
      <c r="A38" t="s">
        <v>37</v>
      </c>
      <c r="B38" t="s">
        <v>12</v>
      </c>
      <c r="C38" s="12">
        <v>110</v>
      </c>
    </row>
    <row r="39" spans="1:7" x14ac:dyDescent="0.3">
      <c r="A39" t="s">
        <v>38</v>
      </c>
      <c r="B39" t="s">
        <v>12</v>
      </c>
      <c r="C39" s="12">
        <v>280</v>
      </c>
    </row>
    <row r="40" spans="1:7" x14ac:dyDescent="0.3">
      <c r="A40" t="s">
        <v>39</v>
      </c>
      <c r="B40" t="s">
        <v>12</v>
      </c>
      <c r="C40" s="12">
        <v>180</v>
      </c>
    </row>
    <row r="41" spans="1:7" x14ac:dyDescent="0.3">
      <c r="A41" t="s">
        <v>40</v>
      </c>
      <c r="B41" t="s">
        <v>41</v>
      </c>
      <c r="C41" s="12">
        <v>7.5</v>
      </c>
    </row>
    <row r="42" spans="1:7" x14ac:dyDescent="0.3">
      <c r="A42" t="s">
        <v>42</v>
      </c>
      <c r="B42" t="s">
        <v>32</v>
      </c>
      <c r="C42" s="13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/>
  </sheetViews>
  <sheetFormatPr defaultRowHeight="14.4" x14ac:dyDescent="0.3"/>
  <cols>
    <col min="1" max="1" width="55" customWidth="1"/>
    <col min="2" max="2" width="30" customWidth="1"/>
    <col min="3" max="3" width="70" customWidth="1"/>
  </cols>
  <sheetData>
    <row r="1" spans="1:3" ht="15.6" x14ac:dyDescent="0.3">
      <c r="A1" s="14" t="s">
        <v>43</v>
      </c>
    </row>
    <row r="3" spans="1:3" ht="15.6" x14ac:dyDescent="0.3">
      <c r="A3" s="15" t="s">
        <v>5</v>
      </c>
      <c r="B3" s="15" t="s">
        <v>44</v>
      </c>
      <c r="C3" s="15" t="s">
        <v>45</v>
      </c>
    </row>
    <row r="4" spans="1:3" x14ac:dyDescent="0.3">
      <c r="A4" s="16" t="s">
        <v>46</v>
      </c>
      <c r="B4" s="17" t="s">
        <v>47</v>
      </c>
      <c r="C4" s="17" t="s">
        <v>48</v>
      </c>
    </row>
    <row r="5" spans="1:3" x14ac:dyDescent="0.3">
      <c r="A5" s="16" t="s">
        <v>49</v>
      </c>
      <c r="B5" s="17" t="s">
        <v>50</v>
      </c>
      <c r="C5" s="17" t="s">
        <v>51</v>
      </c>
    </row>
    <row r="6" spans="1:3" x14ac:dyDescent="0.3">
      <c r="A6" s="16" t="s">
        <v>52</v>
      </c>
      <c r="B6" s="17" t="s">
        <v>53</v>
      </c>
      <c r="C6" s="17" t="s">
        <v>54</v>
      </c>
    </row>
    <row r="7" spans="1:3" ht="28.8" x14ac:dyDescent="0.3">
      <c r="A7" s="16" t="s">
        <v>55</v>
      </c>
      <c r="B7" s="17" t="s">
        <v>56</v>
      </c>
      <c r="C7" s="17" t="s">
        <v>57</v>
      </c>
    </row>
    <row r="8" spans="1:3" x14ac:dyDescent="0.3">
      <c r="A8" s="16" t="s">
        <v>58</v>
      </c>
      <c r="B8" s="17" t="s">
        <v>59</v>
      </c>
      <c r="C8" s="17" t="s">
        <v>60</v>
      </c>
    </row>
    <row r="9" spans="1:3" ht="28.8" x14ac:dyDescent="0.3">
      <c r="A9" s="16" t="s">
        <v>61</v>
      </c>
      <c r="B9" s="17" t="s">
        <v>62</v>
      </c>
      <c r="C9" s="17" t="s">
        <v>63</v>
      </c>
    </row>
    <row r="10" spans="1:3" x14ac:dyDescent="0.3">
      <c r="A10" s="16" t="s">
        <v>64</v>
      </c>
      <c r="B10" s="17" t="s">
        <v>65</v>
      </c>
      <c r="C10" s="17" t="s">
        <v>66</v>
      </c>
    </row>
    <row r="11" spans="1:3" x14ac:dyDescent="0.3">
      <c r="A11" s="16" t="s">
        <v>67</v>
      </c>
      <c r="B11" s="17" t="s">
        <v>68</v>
      </c>
      <c r="C11" s="17" t="s">
        <v>69</v>
      </c>
    </row>
    <row r="12" spans="1:3" x14ac:dyDescent="0.3">
      <c r="A12" s="16" t="s">
        <v>70</v>
      </c>
      <c r="B12" s="17" t="s">
        <v>71</v>
      </c>
      <c r="C12" s="17" t="s">
        <v>72</v>
      </c>
    </row>
    <row r="13" spans="1:3" ht="28.8" x14ac:dyDescent="0.3">
      <c r="A13" s="16" t="s">
        <v>73</v>
      </c>
      <c r="B13" s="17" t="s">
        <v>74</v>
      </c>
      <c r="C13" s="17" t="s">
        <v>75</v>
      </c>
    </row>
    <row r="14" spans="1:3" x14ac:dyDescent="0.3">
      <c r="A14" s="16" t="s">
        <v>76</v>
      </c>
      <c r="B14" s="17" t="s">
        <v>77</v>
      </c>
      <c r="C14" s="17" t="s">
        <v>78</v>
      </c>
    </row>
    <row r="15" spans="1:3" x14ac:dyDescent="0.3">
      <c r="A15" s="16" t="s">
        <v>79</v>
      </c>
      <c r="B15" s="17" t="s">
        <v>80</v>
      </c>
      <c r="C15" s="17" t="s">
        <v>81</v>
      </c>
    </row>
    <row r="16" spans="1:3" x14ac:dyDescent="0.3">
      <c r="A16" s="16" t="s">
        <v>82</v>
      </c>
      <c r="B16" s="17" t="s">
        <v>83</v>
      </c>
      <c r="C16" s="17" t="s">
        <v>84</v>
      </c>
    </row>
    <row r="17" spans="1:3" x14ac:dyDescent="0.3">
      <c r="A17" s="16" t="s">
        <v>85</v>
      </c>
      <c r="B17" s="17" t="s">
        <v>86</v>
      </c>
      <c r="C17" s="17" t="s">
        <v>87</v>
      </c>
    </row>
    <row r="18" spans="1:3" ht="28.8" x14ac:dyDescent="0.3">
      <c r="A18" s="16" t="s">
        <v>88</v>
      </c>
      <c r="B18" s="17" t="s">
        <v>89</v>
      </c>
      <c r="C18" s="17" t="s">
        <v>90</v>
      </c>
    </row>
    <row r="19" spans="1:3" ht="43.2" x14ac:dyDescent="0.3">
      <c r="A19" s="16" t="s">
        <v>91</v>
      </c>
      <c r="B19" s="17" t="s">
        <v>92</v>
      </c>
      <c r="C19" s="17" t="s">
        <v>93</v>
      </c>
    </row>
    <row r="20" spans="1:3" x14ac:dyDescent="0.3">
      <c r="A20" s="16" t="s">
        <v>94</v>
      </c>
      <c r="B20" s="17" t="s">
        <v>95</v>
      </c>
      <c r="C20" s="17" t="s">
        <v>96</v>
      </c>
    </row>
    <row r="21" spans="1:3" ht="28.8" x14ac:dyDescent="0.3">
      <c r="A21" s="16" t="s">
        <v>97</v>
      </c>
      <c r="B21" s="17" t="s">
        <v>98</v>
      </c>
      <c r="C21" s="17" t="s">
        <v>99</v>
      </c>
    </row>
    <row r="24" spans="1:3" x14ac:dyDescent="0.3">
      <c r="A24" s="11" t="s">
        <v>100</v>
      </c>
    </row>
    <row r="25" spans="1:3" x14ac:dyDescent="0.3">
      <c r="A25" t="s">
        <v>101</v>
      </c>
      <c r="B25" t="s">
        <v>102</v>
      </c>
    </row>
    <row r="26" spans="1:3" x14ac:dyDescent="0.3">
      <c r="A26" t="s">
        <v>103</v>
      </c>
      <c r="B26" t="s">
        <v>104</v>
      </c>
    </row>
    <row r="27" spans="1:3" x14ac:dyDescent="0.3">
      <c r="A27" t="s">
        <v>105</v>
      </c>
      <c r="B27" t="s">
        <v>106</v>
      </c>
    </row>
    <row r="28" spans="1:3" x14ac:dyDescent="0.3">
      <c r="A28" t="s">
        <v>107</v>
      </c>
      <c r="B28" t="s">
        <v>86</v>
      </c>
    </row>
    <row r="29" spans="1:3" x14ac:dyDescent="0.3">
      <c r="A29" t="s">
        <v>108</v>
      </c>
      <c r="B29" t="s">
        <v>109</v>
      </c>
    </row>
    <row r="30" spans="1:3" x14ac:dyDescent="0.3">
      <c r="A30" t="s">
        <v>110</v>
      </c>
      <c r="B30" t="s">
        <v>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4.4" x14ac:dyDescent="0.3"/>
  <cols>
    <col min="1" max="1" width="62" customWidth="1"/>
    <col min="3" max="7" width="12" customWidth="1"/>
  </cols>
  <sheetData>
    <row r="1" spans="1:7" ht="15.6" x14ac:dyDescent="0.3">
      <c r="A1" s="14" t="s">
        <v>112</v>
      </c>
    </row>
    <row r="3" spans="1:7" ht="15.6" x14ac:dyDescent="0.3">
      <c r="A3" s="4" t="s">
        <v>5</v>
      </c>
      <c r="B3" s="4" t="s">
        <v>6</v>
      </c>
      <c r="C3" s="5">
        <v>2026</v>
      </c>
      <c r="D3" s="5">
        <v>2027</v>
      </c>
      <c r="E3" s="5">
        <v>2028</v>
      </c>
      <c r="F3" s="5">
        <v>2029</v>
      </c>
      <c r="G3" s="5">
        <v>2030</v>
      </c>
    </row>
    <row r="4" spans="1:7" x14ac:dyDescent="0.3">
      <c r="A4" t="s">
        <v>113</v>
      </c>
      <c r="C4" s="18">
        <f>Допущения!C11*Допущения!C18*Допущения!$C$5</f>
        <v>6.6000000000000005</v>
      </c>
      <c r="D4" s="18">
        <f>Допущения!D11*Допущения!D18*Допущения!$C$5</f>
        <v>27.599999999999998</v>
      </c>
      <c r="E4" s="18">
        <f>Допущения!E11*Допущения!E18*Допущения!$C$5</f>
        <v>80</v>
      </c>
      <c r="F4" s="18">
        <f>Допущения!F11*Допущения!F18*Допущения!$C$5</f>
        <v>143</v>
      </c>
      <c r="G4" s="18">
        <f>Допущения!G11*Допущения!G18*Допущения!$C$5</f>
        <v>237.99999999999997</v>
      </c>
    </row>
    <row r="5" spans="1:7" x14ac:dyDescent="0.3">
      <c r="A5" t="s">
        <v>114</v>
      </c>
      <c r="C5" s="18">
        <f>Допущения!C12*Допущения!C18*Допущения!$C$5</f>
        <v>0.44999999999999996</v>
      </c>
      <c r="D5" s="18">
        <f>Допущения!D12*Допущения!D18*Допущения!$C$5</f>
        <v>4.1999999999999993</v>
      </c>
      <c r="E5" s="18">
        <f>Допущения!E12*Допущения!E18*Допущения!$C$5</f>
        <v>19.2</v>
      </c>
      <c r="F5" s="18">
        <f>Допущения!F12*Допущения!F18*Допущения!$C$5</f>
        <v>44</v>
      </c>
      <c r="G5" s="18">
        <f>Допущения!G12*Допущения!G18*Допущения!$C$5</f>
        <v>85</v>
      </c>
    </row>
    <row r="6" spans="1:7" x14ac:dyDescent="0.3">
      <c r="A6" t="s">
        <v>115</v>
      </c>
      <c r="C6" s="18">
        <f>Допущения!C13*Допущения!C20*Допущения!$C$5</f>
        <v>0</v>
      </c>
      <c r="D6" s="18">
        <f>Допущения!D13*Допущения!D20*Допущения!$C$5</f>
        <v>1.44</v>
      </c>
      <c r="E6" s="18">
        <f>Допущения!E13*Допущения!E20*Допущения!$C$5</f>
        <v>4.5</v>
      </c>
      <c r="F6" s="18">
        <f>Допущения!F13*Допущения!F20*Допущения!$C$5</f>
        <v>8.1</v>
      </c>
      <c r="G6" s="18">
        <f>Допущения!G13*Допущения!G20*Допущения!$C$5</f>
        <v>12.6</v>
      </c>
    </row>
    <row r="7" spans="1:7" x14ac:dyDescent="0.3">
      <c r="A7" t="s">
        <v>116</v>
      </c>
      <c r="C7" s="18">
        <f>Допущения!C14*Допущения!C19*Допущения!$C$5</f>
        <v>0</v>
      </c>
      <c r="D7" s="18">
        <f>Допущения!D14*Допущения!D19*Допущения!$C$5</f>
        <v>4.5</v>
      </c>
      <c r="E7" s="18">
        <f>Допущения!E14*Допущения!E19*Допущения!$C$5</f>
        <v>10</v>
      </c>
      <c r="F7" s="18">
        <f>Допущения!F14*Допущения!F19*Допущения!$C$5</f>
        <v>16.5</v>
      </c>
      <c r="G7" s="18">
        <f>Допущения!G14*Допущения!G19*Допущения!$C$5</f>
        <v>30</v>
      </c>
    </row>
    <row r="8" spans="1:7" x14ac:dyDescent="0.3">
      <c r="A8" t="s">
        <v>117</v>
      </c>
      <c r="C8" s="18">
        <f>Допущения!C15*Допущения!C21*Допущения!$C$5</f>
        <v>0</v>
      </c>
      <c r="D8" s="18">
        <f>Допущения!D15*Допущения!D21*Допущения!$C$5</f>
        <v>0</v>
      </c>
      <c r="E8" s="18">
        <f>Допущения!E15*Допущения!E21*Допущения!$C$5</f>
        <v>0</v>
      </c>
      <c r="F8" s="18">
        <f>Допущения!F15*Допущения!F21*Допущения!$C$5</f>
        <v>8.5</v>
      </c>
      <c r="G8" s="18">
        <f>Допущения!G15*Допущения!G21*Допущения!$C$5</f>
        <v>25.5</v>
      </c>
    </row>
    <row r="10" spans="1:7" x14ac:dyDescent="0.3">
      <c r="A10" s="4" t="s">
        <v>118</v>
      </c>
      <c r="C10" s="19">
        <f>SUM(C4:C8)</f>
        <v>7.0500000000000007</v>
      </c>
      <c r="D10" s="19">
        <f>SUM(D4:D8)</f>
        <v>37.739999999999995</v>
      </c>
      <c r="E10" s="19">
        <f>SUM(E4:E8)</f>
        <v>113.7</v>
      </c>
      <c r="F10" s="19">
        <f>SUM(F4:F8)</f>
        <v>220.1</v>
      </c>
      <c r="G10" s="19">
        <f>SUM(G4:G8)</f>
        <v>391.1</v>
      </c>
    </row>
    <row r="12" spans="1:7" x14ac:dyDescent="0.3">
      <c r="A12" s="2" t="s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4.4" x14ac:dyDescent="0.3"/>
  <cols>
    <col min="1" max="1" width="62" customWidth="1"/>
    <col min="3" max="7" width="12" customWidth="1"/>
  </cols>
  <sheetData>
    <row r="1" spans="1:7" ht="15.6" x14ac:dyDescent="0.3">
      <c r="A1" s="14" t="s">
        <v>120</v>
      </c>
    </row>
    <row r="3" spans="1:7" ht="15.6" x14ac:dyDescent="0.3">
      <c r="A3" s="4" t="s">
        <v>5</v>
      </c>
      <c r="B3" s="4" t="s">
        <v>6</v>
      </c>
      <c r="C3" s="5">
        <v>2026</v>
      </c>
      <c r="D3" s="5">
        <v>2027</v>
      </c>
      <c r="E3" s="5">
        <v>2028</v>
      </c>
      <c r="F3" s="5">
        <v>2029</v>
      </c>
      <c r="G3" s="5">
        <v>2030</v>
      </c>
    </row>
    <row r="4" spans="1:7" x14ac:dyDescent="0.3">
      <c r="A4" t="s">
        <v>121</v>
      </c>
      <c r="C4" s="18">
        <f>Допущения!C24*Допущения!$C$6</f>
        <v>24</v>
      </c>
      <c r="D4" s="18">
        <f>Допущения!D24*Допущения!$C$6</f>
        <v>40</v>
      </c>
      <c r="E4" s="18">
        <f>Допущения!E24*Допущения!$C$6</f>
        <v>62</v>
      </c>
      <c r="F4" s="18">
        <f>Допущения!F24*Допущения!$C$6</f>
        <v>95</v>
      </c>
      <c r="G4" s="18">
        <f>Допущения!G24*Допущения!$C$6</f>
        <v>140</v>
      </c>
    </row>
    <row r="5" spans="1:7" x14ac:dyDescent="0.3">
      <c r="A5" t="s">
        <v>122</v>
      </c>
      <c r="C5" s="18">
        <f>Допущения!C25*Допущения!$C$6</f>
        <v>10</v>
      </c>
      <c r="D5" s="18">
        <f>Допущения!D25*Допущения!$C$6</f>
        <v>12</v>
      </c>
      <c r="E5" s="18">
        <f>Допущения!E25*Допущения!$C$6</f>
        <v>15</v>
      </c>
      <c r="F5" s="18">
        <f>Допущения!F25*Допущения!$C$6</f>
        <v>20</v>
      </c>
      <c r="G5" s="18">
        <f>Допущения!G25*Допущения!$C$6</f>
        <v>28</v>
      </c>
    </row>
    <row r="6" spans="1:7" x14ac:dyDescent="0.3">
      <c r="A6" t="s">
        <v>123</v>
      </c>
      <c r="C6" s="18">
        <f>Допущения!C26*Допущения!$C$6</f>
        <v>2</v>
      </c>
      <c r="D6" s="18">
        <f>Допущения!D26*Допущения!$C$6</f>
        <v>5</v>
      </c>
      <c r="E6" s="18">
        <f>Допущения!E26*Допущения!$C$6</f>
        <v>10</v>
      </c>
      <c r="F6" s="18">
        <f>Допущения!F26*Допущения!$C$6</f>
        <v>16</v>
      </c>
      <c r="G6" s="18">
        <f>Допущения!G26*Допущения!$C$6</f>
        <v>24</v>
      </c>
    </row>
    <row r="7" spans="1:7" x14ac:dyDescent="0.3">
      <c r="A7" t="s">
        <v>124</v>
      </c>
      <c r="C7" s="18">
        <f>Допущения!C27*Допущения!$C$6</f>
        <v>2</v>
      </c>
      <c r="D7" s="18">
        <f>Допущения!D27*Допущения!$C$6</f>
        <v>4</v>
      </c>
      <c r="E7" s="18">
        <f>Допущения!E27*Допущения!$C$6</f>
        <v>9</v>
      </c>
      <c r="F7" s="18">
        <f>Допущения!F27*Допущения!$C$6</f>
        <v>18</v>
      </c>
      <c r="G7" s="18">
        <f>Допущения!G27*Допущения!$C$6</f>
        <v>30</v>
      </c>
    </row>
    <row r="8" spans="1:7" x14ac:dyDescent="0.3">
      <c r="A8" t="s">
        <v>125</v>
      </c>
      <c r="C8" s="18">
        <f>Допущения!C28*Допущения!$C$6</f>
        <v>4</v>
      </c>
      <c r="D8" s="18">
        <f>Допущения!D28*Допущения!$C$6</f>
        <v>6</v>
      </c>
      <c r="E8" s="18">
        <f>Допущения!E28*Допущения!$C$6</f>
        <v>8</v>
      </c>
      <c r="F8" s="18">
        <f>Допущения!F28*Допущения!$C$6</f>
        <v>11</v>
      </c>
      <c r="G8" s="18">
        <f>Допущения!G28*Допущения!$C$6</f>
        <v>15</v>
      </c>
    </row>
    <row r="9" spans="1:7" x14ac:dyDescent="0.3">
      <c r="A9" t="s">
        <v>126</v>
      </c>
      <c r="C9" s="18">
        <f>Допущения!C29*Допущения!$C$6</f>
        <v>4.5</v>
      </c>
      <c r="D9" s="18">
        <f>Допущения!D29*Допущения!$C$6</f>
        <v>3.5</v>
      </c>
      <c r="E9" s="18">
        <f>Допущения!E29*Допущения!$C$6</f>
        <v>2.5</v>
      </c>
      <c r="F9" s="18">
        <f>Допущения!F29*Допущения!$C$6</f>
        <v>7</v>
      </c>
      <c r="G9" s="18">
        <f>Допущения!G29*Допущения!$C$6</f>
        <v>8</v>
      </c>
    </row>
    <row r="11" spans="1:7" x14ac:dyDescent="0.3">
      <c r="A11" s="4" t="s">
        <v>127</v>
      </c>
      <c r="C11" s="19">
        <f>SUM(C4:C9)</f>
        <v>46.5</v>
      </c>
      <c r="D11" s="19">
        <f>SUM(D4:D9)</f>
        <v>70.5</v>
      </c>
      <c r="E11" s="19">
        <f>SUM(E4:E9)</f>
        <v>106.5</v>
      </c>
      <c r="F11" s="19">
        <f>SUM(F4:F9)</f>
        <v>167</v>
      </c>
      <c r="G11" s="19">
        <f>SUM(G4:G9)</f>
        <v>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4.4" x14ac:dyDescent="0.3"/>
  <cols>
    <col min="1" max="1" width="45" customWidth="1"/>
    <col min="3" max="7" width="12" customWidth="1"/>
  </cols>
  <sheetData>
    <row r="1" spans="1:7" ht="15.6" x14ac:dyDescent="0.3">
      <c r="A1" s="14" t="s">
        <v>128</v>
      </c>
    </row>
    <row r="3" spans="1:7" ht="15.6" x14ac:dyDescent="0.3">
      <c r="A3" s="4" t="s">
        <v>5</v>
      </c>
      <c r="B3" s="4" t="s">
        <v>6</v>
      </c>
      <c r="C3" s="5">
        <v>2026</v>
      </c>
      <c r="D3" s="5">
        <v>2027</v>
      </c>
      <c r="E3" s="5">
        <v>2028</v>
      </c>
      <c r="F3" s="5">
        <v>2029</v>
      </c>
      <c r="G3" s="5">
        <v>2030</v>
      </c>
    </row>
    <row r="4" spans="1:7" x14ac:dyDescent="0.3">
      <c r="A4" t="s">
        <v>129</v>
      </c>
      <c r="C4" s="18">
        <f>Выручка!C10</f>
        <v>7.0500000000000007</v>
      </c>
      <c r="D4" s="18">
        <f>Выручка!D10</f>
        <v>37.739999999999995</v>
      </c>
      <c r="E4" s="18">
        <f>Выручка!E10</f>
        <v>113.7</v>
      </c>
      <c r="F4" s="18">
        <f>Выручка!F10</f>
        <v>220.1</v>
      </c>
      <c r="G4" s="18">
        <f>Выручка!G10</f>
        <v>391.1</v>
      </c>
    </row>
    <row r="6" spans="1:7" x14ac:dyDescent="0.3">
      <c r="A6" t="s">
        <v>130</v>
      </c>
      <c r="C6" s="18">
        <f>-Расходы!C11</f>
        <v>-46.5</v>
      </c>
      <c r="D6" s="18">
        <f>-Расходы!D11</f>
        <v>-70.5</v>
      </c>
      <c r="E6" s="18">
        <f>-Расходы!E11</f>
        <v>-106.5</v>
      </c>
      <c r="F6" s="18">
        <f>-Расходы!F11</f>
        <v>-167</v>
      </c>
      <c r="G6" s="18">
        <f>-Расходы!G11</f>
        <v>-245</v>
      </c>
    </row>
    <row r="8" spans="1:7" x14ac:dyDescent="0.3">
      <c r="A8" s="4" t="s">
        <v>131</v>
      </c>
      <c r="C8" s="19">
        <f>C4+C6</f>
        <v>-39.450000000000003</v>
      </c>
      <c r="D8" s="19">
        <f>D4+D6</f>
        <v>-32.760000000000005</v>
      </c>
      <c r="E8" s="19">
        <f>E4+E6</f>
        <v>7.2000000000000028</v>
      </c>
      <c r="F8" s="19">
        <f>F4+F6</f>
        <v>53.099999999999994</v>
      </c>
      <c r="G8" s="19">
        <f>G4+G6</f>
        <v>146.10000000000002</v>
      </c>
    </row>
    <row r="9" spans="1:7" x14ac:dyDescent="0.3">
      <c r="A9" t="s">
        <v>132</v>
      </c>
      <c r="C9" s="20">
        <f>IF(C4=0,0,C8/C4)</f>
        <v>-5.5957446808510634</v>
      </c>
      <c r="D9" s="20">
        <f>IF(D4=0,0,D8/D4)</f>
        <v>-0.86804451510333891</v>
      </c>
      <c r="E9" s="20">
        <f>IF(E4=0,0,E8/E4)</f>
        <v>6.3324538258575216E-2</v>
      </c>
      <c r="F9" s="20">
        <f>IF(F4=0,0,F8/F4)</f>
        <v>0.24125397546569738</v>
      </c>
      <c r="G9" s="20">
        <f>IF(G4=0,0,G8/G4)</f>
        <v>0.37356174891332145</v>
      </c>
    </row>
    <row r="11" spans="1:7" x14ac:dyDescent="0.3">
      <c r="A11" t="s">
        <v>133</v>
      </c>
      <c r="C11" s="18">
        <f>-MAX(0,C8)*Допущения!C32/100</f>
        <v>0</v>
      </c>
      <c r="D11" s="18">
        <f>-MAX(0,D8)*Допущения!D32/100</f>
        <v>0</v>
      </c>
      <c r="E11" s="18">
        <f>-MAX(0,E8)*Допущения!E32/100</f>
        <v>-0.36000000000000015</v>
      </c>
      <c r="F11" s="18">
        <f>-MAX(0,F8)*Допущения!F32/100</f>
        <v>-2.6549999999999998</v>
      </c>
      <c r="G11" s="18">
        <f>-MAX(0,G8)*Допущения!G32/100</f>
        <v>-7.3050000000000015</v>
      </c>
    </row>
    <row r="12" spans="1:7" x14ac:dyDescent="0.3">
      <c r="A12" s="4" t="s">
        <v>134</v>
      </c>
      <c r="C12" s="19">
        <f>C8+C11</f>
        <v>-39.450000000000003</v>
      </c>
      <c r="D12" s="19">
        <f>D8+D11</f>
        <v>-32.760000000000005</v>
      </c>
      <c r="E12" s="19">
        <f>E8+E11</f>
        <v>6.8400000000000025</v>
      </c>
      <c r="F12" s="19">
        <f>F8+F11</f>
        <v>50.444999999999993</v>
      </c>
      <c r="G12" s="19">
        <f>G8+G11</f>
        <v>138.79500000000002</v>
      </c>
    </row>
    <row r="13" spans="1:7" x14ac:dyDescent="0.3">
      <c r="A13" t="s">
        <v>135</v>
      </c>
      <c r="C13" s="20">
        <f>IF(C4=0,0,C12/C4)</f>
        <v>-5.5957446808510634</v>
      </c>
      <c r="D13" s="20">
        <f>IF(D4=0,0,D12/D4)</f>
        <v>-0.86804451510333891</v>
      </c>
      <c r="E13" s="20">
        <f>IF(E4=0,0,E12/E4)</f>
        <v>6.0158311345646462E-2</v>
      </c>
      <c r="F13" s="20">
        <f>IF(F4=0,0,F12/F4)</f>
        <v>0.22919127669241252</v>
      </c>
      <c r="G13" s="20">
        <f>IF(G4=0,0,G12/G4)</f>
        <v>0.35488366146765538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4.4" x14ac:dyDescent="0.3"/>
  <cols>
    <col min="1" max="1" width="55" customWidth="1"/>
    <col min="3" max="7" width="12" customWidth="1"/>
  </cols>
  <sheetData>
    <row r="1" spans="1:7" ht="15.6" x14ac:dyDescent="0.3">
      <c r="A1" s="14" t="s">
        <v>136</v>
      </c>
    </row>
    <row r="3" spans="1:7" ht="15.6" x14ac:dyDescent="0.3">
      <c r="A3" s="4" t="s">
        <v>5</v>
      </c>
      <c r="B3" s="4" t="s">
        <v>6</v>
      </c>
      <c r="C3" s="5">
        <v>2026</v>
      </c>
      <c r="D3" s="5">
        <v>2027</v>
      </c>
      <c r="E3" s="5">
        <v>2028</v>
      </c>
      <c r="F3" s="5">
        <v>2029</v>
      </c>
      <c r="G3" s="5">
        <v>2030</v>
      </c>
    </row>
    <row r="4" spans="1:7" x14ac:dyDescent="0.3">
      <c r="A4" t="s">
        <v>137</v>
      </c>
      <c r="C4" s="18">
        <v>0</v>
      </c>
      <c r="D4" s="18">
        <f>C11</f>
        <v>0.54999999999999716</v>
      </c>
      <c r="E4" s="18">
        <f>D11</f>
        <v>20.789999999999992</v>
      </c>
      <c r="F4" s="18">
        <f>E11</f>
        <v>33.989999999999995</v>
      </c>
      <c r="G4" s="18">
        <f>F11</f>
        <v>91.089999999999989</v>
      </c>
    </row>
    <row r="6" spans="1:7" x14ac:dyDescent="0.3">
      <c r="A6" t="s">
        <v>138</v>
      </c>
      <c r="C6" s="18">
        <f>PnL!C8</f>
        <v>-39.450000000000003</v>
      </c>
      <c r="D6" s="18">
        <f>PnL!D8</f>
        <v>-32.760000000000005</v>
      </c>
      <c r="E6" s="18">
        <f>PnL!E8</f>
        <v>7.2000000000000028</v>
      </c>
      <c r="F6" s="18">
        <f>PnL!F8</f>
        <v>53.099999999999994</v>
      </c>
      <c r="G6" s="18">
        <f>PnL!G8</f>
        <v>146.10000000000002</v>
      </c>
    </row>
    <row r="7" spans="1:7" x14ac:dyDescent="0.3">
      <c r="A7" t="s">
        <v>139</v>
      </c>
      <c r="C7" s="18">
        <f>Допущения!C33</f>
        <v>35</v>
      </c>
      <c r="D7" s="18">
        <f>Допущения!D33</f>
        <v>0</v>
      </c>
      <c r="E7" s="18">
        <f>Допущения!E33</f>
        <v>0</v>
      </c>
      <c r="F7" s="18">
        <f>Допущения!F33</f>
        <v>0</v>
      </c>
      <c r="G7" s="18">
        <f>Допущения!G33</f>
        <v>0</v>
      </c>
    </row>
    <row r="8" spans="1:7" x14ac:dyDescent="0.3">
      <c r="A8" t="s">
        <v>140</v>
      </c>
      <c r="C8" s="18">
        <f>Допущения!C34</f>
        <v>0</v>
      </c>
      <c r="D8" s="18">
        <f>Допущения!D34</f>
        <v>45</v>
      </c>
      <c r="E8" s="18">
        <f>Допущения!E34</f>
        <v>0</v>
      </c>
      <c r="F8" s="18">
        <f>Допущения!F34</f>
        <v>0</v>
      </c>
      <c r="G8" s="18">
        <f>Допущения!G34</f>
        <v>0</v>
      </c>
    </row>
    <row r="9" spans="1:7" x14ac:dyDescent="0.3">
      <c r="A9" t="s">
        <v>141</v>
      </c>
      <c r="C9" s="18">
        <f>Допущения!C35</f>
        <v>5</v>
      </c>
      <c r="D9" s="18">
        <f>Допущения!D35</f>
        <v>8</v>
      </c>
      <c r="E9" s="18">
        <f>Допущения!E35</f>
        <v>6</v>
      </c>
      <c r="F9" s="18">
        <f>Допущения!F35</f>
        <v>4</v>
      </c>
      <c r="G9" s="18">
        <f>Допущения!G35</f>
        <v>2</v>
      </c>
    </row>
    <row r="11" spans="1:7" x14ac:dyDescent="0.3">
      <c r="A11" s="4" t="s">
        <v>142</v>
      </c>
      <c r="C11" s="19">
        <f>C4+SUM(C6:C9)</f>
        <v>0.54999999999999716</v>
      </c>
      <c r="D11" s="19">
        <f>D4+SUM(D6:D9)</f>
        <v>20.789999999999992</v>
      </c>
      <c r="E11" s="19">
        <f>E4+SUM(E6:E9)</f>
        <v>33.989999999999995</v>
      </c>
      <c r="F11" s="19">
        <f>F4+SUM(F6:F9)</f>
        <v>91.089999999999989</v>
      </c>
      <c r="G11" s="19">
        <f>G4+SUM(G6:G9)</f>
        <v>239.19</v>
      </c>
    </row>
    <row r="13" spans="1:7" x14ac:dyDescent="0.3">
      <c r="A13" s="2" t="s">
        <v>143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workbookViewId="0"/>
  </sheetViews>
  <sheetFormatPr defaultRowHeight="14.4" x14ac:dyDescent="0.3"/>
  <cols>
    <col min="1" max="1" width="58" customWidth="1"/>
    <col min="2" max="4" width="16" customWidth="1"/>
  </cols>
  <sheetData>
    <row r="1" spans="1:2" ht="15.6" x14ac:dyDescent="0.3">
      <c r="A1" s="14" t="s">
        <v>144</v>
      </c>
    </row>
    <row r="3" spans="1:2" x14ac:dyDescent="0.3">
      <c r="A3" s="11" t="s">
        <v>145</v>
      </c>
    </row>
    <row r="4" spans="1:2" x14ac:dyDescent="0.3">
      <c r="A4" t="s">
        <v>146</v>
      </c>
      <c r="B4">
        <f>Допущения!C38</f>
        <v>110</v>
      </c>
    </row>
    <row r="5" spans="1:2" x14ac:dyDescent="0.3">
      <c r="A5" t="s">
        <v>147</v>
      </c>
      <c r="B5">
        <f>Допущения!C33</f>
        <v>35</v>
      </c>
    </row>
    <row r="6" spans="1:2" x14ac:dyDescent="0.3">
      <c r="A6" t="s">
        <v>148</v>
      </c>
      <c r="B6">
        <f>B4+B5</f>
        <v>145</v>
      </c>
    </row>
    <row r="7" spans="1:2" x14ac:dyDescent="0.3">
      <c r="A7" t="s">
        <v>149</v>
      </c>
      <c r="B7" s="20">
        <f>B5/B6</f>
        <v>0.2413793103448276</v>
      </c>
    </row>
    <row r="8" spans="1:2" x14ac:dyDescent="0.3">
      <c r="A8" t="s">
        <v>150</v>
      </c>
      <c r="B8" t="s">
        <v>151</v>
      </c>
    </row>
    <row r="10" spans="1:2" x14ac:dyDescent="0.3">
      <c r="A10" s="11" t="s">
        <v>152</v>
      </c>
    </row>
    <row r="11" spans="1:2" x14ac:dyDescent="0.3">
      <c r="A11" t="s">
        <v>153</v>
      </c>
      <c r="B11">
        <f>Допущения!C39</f>
        <v>280</v>
      </c>
    </row>
    <row r="12" spans="1:2" x14ac:dyDescent="0.3">
      <c r="A12" t="s">
        <v>147</v>
      </c>
      <c r="B12">
        <f>Допущения!D34</f>
        <v>45</v>
      </c>
    </row>
    <row r="13" spans="1:2" x14ac:dyDescent="0.3">
      <c r="A13" t="s">
        <v>148</v>
      </c>
      <c r="B13">
        <f>B11+B12</f>
        <v>325</v>
      </c>
    </row>
    <row r="14" spans="1:2" x14ac:dyDescent="0.3">
      <c r="A14" t="s">
        <v>154</v>
      </c>
      <c r="B14" s="20">
        <f>B12/B13</f>
        <v>0.13846153846153847</v>
      </c>
    </row>
    <row r="16" spans="1:2" x14ac:dyDescent="0.3">
      <c r="A16" s="11" t="s">
        <v>155</v>
      </c>
    </row>
    <row r="17" spans="1:2" x14ac:dyDescent="0.3">
      <c r="A17" t="s">
        <v>156</v>
      </c>
      <c r="B17" s="4" t="s">
        <v>157</v>
      </c>
    </row>
    <row r="18" spans="1:2" x14ac:dyDescent="0.3">
      <c r="A18" t="s">
        <v>158</v>
      </c>
      <c r="B18" s="20">
        <f>(1-B7)*(1-B14)*0.85/0.88</f>
        <v>0.6312997347480106</v>
      </c>
    </row>
    <row r="19" spans="1:2" x14ac:dyDescent="0.3">
      <c r="A19" t="s">
        <v>159</v>
      </c>
      <c r="B19" s="20">
        <f>(1-B7)*(1-B14)*0.12/0.88</f>
        <v>8.9124668435013252E-2</v>
      </c>
    </row>
    <row r="20" spans="1:2" x14ac:dyDescent="0.3">
      <c r="A20" t="s">
        <v>160</v>
      </c>
      <c r="B20" s="20">
        <f>B7*(1-B14)</f>
        <v>0.20795755968169763</v>
      </c>
    </row>
    <row r="21" spans="1:2" x14ac:dyDescent="0.3">
      <c r="A21" t="s">
        <v>161</v>
      </c>
      <c r="B21" s="20">
        <f>B14</f>
        <v>0.13846153846153847</v>
      </c>
    </row>
    <row r="22" spans="1:2" x14ac:dyDescent="0.3">
      <c r="A22" t="s">
        <v>162</v>
      </c>
      <c r="B22" s="21">
        <f>B18+B19+B20+B21</f>
        <v>1.0668435013262598</v>
      </c>
    </row>
    <row r="24" spans="1:2" x14ac:dyDescent="0.3">
      <c r="A24" s="11" t="s">
        <v>163</v>
      </c>
    </row>
    <row r="25" spans="1:2" x14ac:dyDescent="0.3">
      <c r="A25" t="s">
        <v>164</v>
      </c>
      <c r="B25" s="22">
        <f>Допущения!C40</f>
        <v>180</v>
      </c>
    </row>
    <row r="26" spans="1:2" x14ac:dyDescent="0.3">
      <c r="A26" t="s">
        <v>165</v>
      </c>
      <c r="B26">
        <f>Допущения!C41</f>
        <v>7.5</v>
      </c>
    </row>
    <row r="27" spans="1:2" x14ac:dyDescent="0.3">
      <c r="A27" t="s">
        <v>166</v>
      </c>
      <c r="B27" s="22">
        <f>B25*B26</f>
        <v>1350</v>
      </c>
    </row>
    <row r="28" spans="1:2" x14ac:dyDescent="0.3">
      <c r="A28" t="s">
        <v>167</v>
      </c>
      <c r="B28" s="22">
        <f>B27*B20</f>
        <v>280.74270557029178</v>
      </c>
    </row>
    <row r="29" spans="1:2" x14ac:dyDescent="0.3">
      <c r="A29" t="s">
        <v>168</v>
      </c>
      <c r="B29" s="22">
        <f>B27*B21</f>
        <v>186.92307692307693</v>
      </c>
    </row>
    <row r="30" spans="1:2" x14ac:dyDescent="0.3">
      <c r="A30" t="s">
        <v>169</v>
      </c>
      <c r="B30" s="23">
        <f>B28/B5</f>
        <v>8.0212201591511931</v>
      </c>
    </row>
    <row r="31" spans="1:2" x14ac:dyDescent="0.3">
      <c r="A31" t="s">
        <v>170</v>
      </c>
      <c r="B31" s="23">
        <f>B29/B12</f>
        <v>4.1538461538461542</v>
      </c>
    </row>
    <row r="33" spans="1:4" x14ac:dyDescent="0.3">
      <c r="A33" s="11" t="s">
        <v>171</v>
      </c>
    </row>
    <row r="34" spans="1:4" x14ac:dyDescent="0.3">
      <c r="A34" t="s">
        <v>172</v>
      </c>
      <c r="B34" s="4" t="s">
        <v>173</v>
      </c>
      <c r="C34" s="4" t="s">
        <v>174</v>
      </c>
    </row>
    <row r="35" spans="1:4" x14ac:dyDescent="0.3">
      <c r="A35">
        <v>2026</v>
      </c>
      <c r="B35" s="24">
        <f>-Допущения!C33</f>
        <v>-35</v>
      </c>
      <c r="C35" s="24">
        <v>0</v>
      </c>
    </row>
    <row r="36" spans="1:4" x14ac:dyDescent="0.3">
      <c r="A36">
        <v>2027</v>
      </c>
      <c r="B36" s="24">
        <v>0</v>
      </c>
      <c r="C36" s="24">
        <f>-Допущения!D34</f>
        <v>-45</v>
      </c>
    </row>
    <row r="37" spans="1:4" x14ac:dyDescent="0.3">
      <c r="A37">
        <v>2028</v>
      </c>
      <c r="B37" s="24">
        <v>0</v>
      </c>
      <c r="C37" s="24">
        <v>0</v>
      </c>
    </row>
    <row r="38" spans="1:4" x14ac:dyDescent="0.3">
      <c r="A38">
        <v>2029</v>
      </c>
      <c r="B38" s="24">
        <v>0</v>
      </c>
      <c r="C38" s="24">
        <v>0</v>
      </c>
    </row>
    <row r="39" spans="1:4" x14ac:dyDescent="0.3">
      <c r="A39">
        <v>2030</v>
      </c>
      <c r="B39" s="24">
        <v>0</v>
      </c>
      <c r="C39" s="24">
        <v>0</v>
      </c>
    </row>
    <row r="40" spans="1:4" x14ac:dyDescent="0.3">
      <c r="A40">
        <v>2031</v>
      </c>
      <c r="B40" s="24">
        <f>B28</f>
        <v>280.74270557029178</v>
      </c>
      <c r="C40" s="24">
        <f>B29</f>
        <v>186.92307692307693</v>
      </c>
    </row>
    <row r="42" spans="1:4" x14ac:dyDescent="0.3">
      <c r="A42" t="s">
        <v>175</v>
      </c>
      <c r="B42" s="25">
        <f>IRR(B35:B40)</f>
        <v>0.51651980838513434</v>
      </c>
    </row>
    <row r="43" spans="1:4" x14ac:dyDescent="0.3">
      <c r="A43" t="s">
        <v>176</v>
      </c>
      <c r="B43" s="25">
        <f>IRR(C36:C40)</f>
        <v>0.42761992892375655</v>
      </c>
    </row>
    <row r="44" spans="1:4" x14ac:dyDescent="0.3">
      <c r="A44" t="s">
        <v>177</v>
      </c>
      <c r="B44" s="24">
        <f>NPV(Допущения!C42,B35:B40)</f>
        <v>45.59501580901857</v>
      </c>
    </row>
    <row r="45" spans="1:4" x14ac:dyDescent="0.3">
      <c r="A45" t="s">
        <v>178</v>
      </c>
      <c r="B45" t="s">
        <v>179</v>
      </c>
    </row>
    <row r="47" spans="1:4" x14ac:dyDescent="0.3">
      <c r="A47" s="11" t="s">
        <v>180</v>
      </c>
    </row>
    <row r="48" spans="1:4" x14ac:dyDescent="0.3">
      <c r="A48" t="s">
        <v>165</v>
      </c>
      <c r="B48" t="s">
        <v>181</v>
      </c>
      <c r="C48" t="s">
        <v>182</v>
      </c>
      <c r="D48" t="s">
        <v>183</v>
      </c>
    </row>
    <row r="49" spans="1:7" x14ac:dyDescent="0.3">
      <c r="A49">
        <v>5</v>
      </c>
      <c r="B49" s="22">
        <f>A49*180</f>
        <v>900</v>
      </c>
      <c r="C49" s="22">
        <f>B49*B20</f>
        <v>187.16180371352786</v>
      </c>
      <c r="D49" s="23">
        <f>C49/Допущения!C33</f>
        <v>5.3474801061007957</v>
      </c>
    </row>
    <row r="50" spans="1:7" x14ac:dyDescent="0.3">
      <c r="A50">
        <v>7.5</v>
      </c>
      <c r="B50" s="22">
        <f>A50*180</f>
        <v>1350</v>
      </c>
      <c r="C50" s="22">
        <f>B50*B20</f>
        <v>280.74270557029178</v>
      </c>
      <c r="D50" s="23">
        <f>C50/Допущения!C33</f>
        <v>8.0212201591511931</v>
      </c>
    </row>
    <row r="51" spans="1:7" x14ac:dyDescent="0.3">
      <c r="A51">
        <v>10</v>
      </c>
      <c r="B51" s="22">
        <f>A51*180</f>
        <v>1800</v>
      </c>
      <c r="C51" s="22">
        <f>B51*B20</f>
        <v>374.32360742705572</v>
      </c>
      <c r="D51" s="23">
        <f>C51/Допущения!C33</f>
        <v>10.694960212201591</v>
      </c>
    </row>
    <row r="53" spans="1:7" x14ac:dyDescent="0.3">
      <c r="A53" s="11" t="s">
        <v>184</v>
      </c>
    </row>
    <row r="54" spans="1:7" x14ac:dyDescent="0.3">
      <c r="A54" s="28" t="s">
        <v>185</v>
      </c>
      <c r="B54" s="29"/>
      <c r="C54" s="29"/>
      <c r="D54" s="29"/>
      <c r="E54" s="29"/>
      <c r="F54" s="29"/>
      <c r="G54" s="29"/>
    </row>
    <row r="55" spans="1:7" x14ac:dyDescent="0.3">
      <c r="A55" s="29"/>
      <c r="B55" s="29"/>
      <c r="C55" s="29"/>
      <c r="D55" s="29"/>
      <c r="E55" s="29"/>
      <c r="F55" s="29"/>
      <c r="G55" s="29"/>
    </row>
    <row r="56" spans="1:7" x14ac:dyDescent="0.3">
      <c r="A56" s="29"/>
      <c r="B56" s="29"/>
      <c r="C56" s="29"/>
      <c r="D56" s="29"/>
      <c r="E56" s="29"/>
      <c r="F56" s="29"/>
      <c r="G56" s="29"/>
    </row>
    <row r="57" spans="1:7" x14ac:dyDescent="0.3">
      <c r="A57" s="29"/>
      <c r="B57" s="29"/>
      <c r="C57" s="29"/>
      <c r="D57" s="29"/>
      <c r="E57" s="29"/>
      <c r="F57" s="29"/>
      <c r="G57" s="29"/>
    </row>
    <row r="58" spans="1:7" x14ac:dyDescent="0.3">
      <c r="A58" s="29"/>
      <c r="B58" s="29"/>
      <c r="C58" s="29"/>
      <c r="D58" s="29"/>
      <c r="E58" s="29"/>
      <c r="F58" s="29"/>
      <c r="G58" s="29"/>
    </row>
  </sheetData>
  <mergeCells count="1">
    <mergeCell ref="A54:G5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4.4" x14ac:dyDescent="0.3"/>
  <cols>
    <col min="1" max="2" width="55" customWidth="1"/>
    <col min="3" max="3" width="22" customWidth="1"/>
    <col min="4" max="4" width="14" customWidth="1"/>
    <col min="5" max="5" width="16" customWidth="1"/>
    <col min="6" max="6" width="45" customWidth="1"/>
  </cols>
  <sheetData>
    <row r="1" spans="1:6" ht="15.6" x14ac:dyDescent="0.3">
      <c r="A1" s="14" t="s">
        <v>186</v>
      </c>
    </row>
    <row r="3" spans="1:6" ht="46.8" x14ac:dyDescent="0.3">
      <c r="A3" s="15" t="s">
        <v>187</v>
      </c>
      <c r="B3" s="15" t="s">
        <v>188</v>
      </c>
      <c r="C3" s="15" t="s">
        <v>189</v>
      </c>
      <c r="D3" s="15" t="s">
        <v>190</v>
      </c>
      <c r="E3" s="15" t="s">
        <v>191</v>
      </c>
      <c r="F3" s="15" t="s">
        <v>192</v>
      </c>
    </row>
    <row r="4" spans="1:6" ht="43.2" x14ac:dyDescent="0.3">
      <c r="A4" s="26">
        <v>1</v>
      </c>
      <c r="B4" s="26" t="s">
        <v>193</v>
      </c>
      <c r="C4" s="26" t="s">
        <v>194</v>
      </c>
      <c r="D4" s="26">
        <v>8</v>
      </c>
      <c r="E4" s="26" t="s">
        <v>195</v>
      </c>
      <c r="F4" s="26" t="s">
        <v>196</v>
      </c>
    </row>
    <row r="5" spans="1:6" ht="28.8" x14ac:dyDescent="0.3">
      <c r="A5" s="26">
        <v>2</v>
      </c>
      <c r="B5" s="26" t="s">
        <v>197</v>
      </c>
      <c r="C5" s="26" t="s">
        <v>198</v>
      </c>
      <c r="D5" s="26">
        <v>14</v>
      </c>
      <c r="E5" s="26" t="s">
        <v>199</v>
      </c>
      <c r="F5" s="26" t="s">
        <v>200</v>
      </c>
    </row>
    <row r="6" spans="1:6" ht="28.8" x14ac:dyDescent="0.3">
      <c r="A6" s="26">
        <v>3</v>
      </c>
      <c r="B6" s="26" t="s">
        <v>201</v>
      </c>
      <c r="C6" s="26" t="s">
        <v>202</v>
      </c>
      <c r="D6" s="26">
        <v>9</v>
      </c>
      <c r="E6" s="26" t="s">
        <v>195</v>
      </c>
      <c r="F6" s="26" t="s">
        <v>203</v>
      </c>
    </row>
    <row r="7" spans="1:6" ht="28.8" x14ac:dyDescent="0.3">
      <c r="A7" s="26">
        <v>4</v>
      </c>
      <c r="B7" s="26" t="s">
        <v>204</v>
      </c>
      <c r="C7" s="26" t="s">
        <v>205</v>
      </c>
      <c r="D7" s="26">
        <v>6</v>
      </c>
      <c r="E7" s="26" t="s">
        <v>206</v>
      </c>
      <c r="F7" s="26" t="s">
        <v>207</v>
      </c>
    </row>
    <row r="8" spans="1:6" ht="28.8" x14ac:dyDescent="0.3">
      <c r="A8" s="26">
        <v>5</v>
      </c>
      <c r="B8" s="26" t="s">
        <v>208</v>
      </c>
      <c r="C8" s="26" t="s">
        <v>209</v>
      </c>
      <c r="D8" s="26">
        <v>5</v>
      </c>
      <c r="E8" s="26" t="s">
        <v>210</v>
      </c>
      <c r="F8" s="26" t="s">
        <v>211</v>
      </c>
    </row>
    <row r="9" spans="1:6" x14ac:dyDescent="0.3">
      <c r="A9" s="26">
        <v>6</v>
      </c>
      <c r="B9" s="26" t="s">
        <v>212</v>
      </c>
      <c r="C9" s="26" t="s">
        <v>213</v>
      </c>
      <c r="D9" s="26">
        <v>0.5</v>
      </c>
      <c r="E9" s="26" t="s">
        <v>214</v>
      </c>
      <c r="F9" s="26" t="s">
        <v>215</v>
      </c>
    </row>
    <row r="11" spans="1:6" x14ac:dyDescent="0.3">
      <c r="C11" s="4" t="s">
        <v>162</v>
      </c>
      <c r="D11" s="4">
        <f>SUM(D4:D9)</f>
        <v>42.5</v>
      </c>
      <c r="E11" s="4" t="s">
        <v>216</v>
      </c>
    </row>
    <row r="13" spans="1:6" x14ac:dyDescent="0.3">
      <c r="A13" s="11" t="s">
        <v>217</v>
      </c>
    </row>
    <row r="14" spans="1:6" ht="28.8" x14ac:dyDescent="0.3">
      <c r="A14" s="4" t="s">
        <v>218</v>
      </c>
      <c r="B14" s="17" t="s">
        <v>219</v>
      </c>
    </row>
    <row r="15" spans="1:6" ht="28.8" x14ac:dyDescent="0.3">
      <c r="A15" s="4" t="s">
        <v>220</v>
      </c>
      <c r="B15" s="17" t="s">
        <v>221</v>
      </c>
    </row>
    <row r="16" spans="1:6" x14ac:dyDescent="0.3">
      <c r="A16" s="4" t="s">
        <v>222</v>
      </c>
      <c r="B16" s="17" t="s">
        <v>223</v>
      </c>
    </row>
    <row r="17" spans="1:6" ht="28.8" x14ac:dyDescent="0.3">
      <c r="A17" s="4" t="s">
        <v>224</v>
      </c>
      <c r="B17" s="17" t="s">
        <v>225</v>
      </c>
    </row>
    <row r="19" spans="1:6" x14ac:dyDescent="0.3">
      <c r="A19" s="28" t="s">
        <v>226</v>
      </c>
      <c r="B19" s="29"/>
      <c r="C19" s="29"/>
      <c r="D19" s="29"/>
      <c r="E19" s="29"/>
      <c r="F19" s="29"/>
    </row>
    <row r="20" spans="1:6" x14ac:dyDescent="0.3">
      <c r="A20" s="29"/>
      <c r="B20" s="29"/>
      <c r="C20" s="29"/>
      <c r="D20" s="29"/>
      <c r="E20" s="29"/>
      <c r="F20" s="29"/>
    </row>
    <row r="21" spans="1:6" x14ac:dyDescent="0.3">
      <c r="A21" s="29"/>
      <c r="B21" s="29"/>
      <c r="C21" s="29"/>
      <c r="D21" s="29"/>
      <c r="E21" s="29"/>
      <c r="F21" s="29"/>
    </row>
  </sheetData>
  <mergeCells count="1">
    <mergeCell ref="A19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4" x14ac:dyDescent="0.3"/>
  <cols>
    <col min="1" max="1" width="28" customWidth="1"/>
    <col min="2" max="2" width="110" customWidth="1"/>
  </cols>
  <sheetData>
    <row r="1" spans="1:2" ht="15.6" x14ac:dyDescent="0.3">
      <c r="A1" s="14" t="s">
        <v>227</v>
      </c>
    </row>
    <row r="3" spans="1:2" ht="15.6" x14ac:dyDescent="0.3">
      <c r="A3" s="27" t="s">
        <v>228</v>
      </c>
      <c r="B3" s="27" t="s">
        <v>229</v>
      </c>
    </row>
    <row r="4" spans="1:2" ht="28.8" x14ac:dyDescent="0.3">
      <c r="A4" s="26" t="s">
        <v>230</v>
      </c>
      <c r="B4" s="26" t="s">
        <v>231</v>
      </c>
    </row>
    <row r="5" spans="1:2" ht="43.2" x14ac:dyDescent="0.3">
      <c r="A5" s="26" t="s">
        <v>232</v>
      </c>
      <c r="B5" s="26" t="s">
        <v>233</v>
      </c>
    </row>
    <row r="6" spans="1:2" ht="28.8" x14ac:dyDescent="0.3">
      <c r="A6" s="26" t="s">
        <v>234</v>
      </c>
      <c r="B6" s="26" t="s">
        <v>235</v>
      </c>
    </row>
    <row r="7" spans="1:2" ht="28.8" x14ac:dyDescent="0.3">
      <c r="A7" s="26" t="s">
        <v>236</v>
      </c>
      <c r="B7" s="26" t="s">
        <v>237</v>
      </c>
    </row>
    <row r="8" spans="1:2" ht="28.8" x14ac:dyDescent="0.3">
      <c r="A8" s="26" t="s">
        <v>238</v>
      </c>
      <c r="B8" s="26" t="s">
        <v>239</v>
      </c>
    </row>
    <row r="9" spans="1:2" x14ac:dyDescent="0.3">
      <c r="A9" s="26" t="s">
        <v>240</v>
      </c>
      <c r="B9" s="26" t="s">
        <v>241</v>
      </c>
    </row>
    <row r="10" spans="1:2" ht="28.8" x14ac:dyDescent="0.3">
      <c r="A10" s="26" t="s">
        <v>242</v>
      </c>
      <c r="B10" s="26" t="s">
        <v>243</v>
      </c>
    </row>
    <row r="11" spans="1:2" x14ac:dyDescent="0.3">
      <c r="A11" s="26" t="s">
        <v>244</v>
      </c>
      <c r="B11" s="26" t="s">
        <v>245</v>
      </c>
    </row>
    <row r="12" spans="1:2" ht="28.8" x14ac:dyDescent="0.3">
      <c r="A12" s="26" t="s">
        <v>246</v>
      </c>
      <c r="B12" s="26" t="s">
        <v>247</v>
      </c>
    </row>
    <row r="13" spans="1:2" ht="28.8" x14ac:dyDescent="0.3">
      <c r="A13" s="26" t="s">
        <v>248</v>
      </c>
      <c r="B13" s="26" t="s">
        <v>249</v>
      </c>
    </row>
    <row r="14" spans="1:2" x14ac:dyDescent="0.3">
      <c r="A14" s="26" t="s">
        <v>250</v>
      </c>
      <c r="B14" s="26" t="s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Допущения</vt:lpstr>
      <vt:lpstr>Рынок</vt:lpstr>
      <vt:lpstr>Выручка</vt:lpstr>
      <vt:lpstr>Расходы</vt:lpstr>
      <vt:lpstr>PnL</vt:lpstr>
      <vt:lpstr>ДДС</vt:lpstr>
      <vt:lpstr>Инвестор</vt:lpstr>
      <vt:lpstr>ИС_Оценка</vt:lpstr>
      <vt:lpstr>Китай_АТР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2026-10-10T18:16:06Z</dcterms:created>
  <dcterms:modified xsi:type="dcterms:W3CDTF">2026-10-10T18:16:32Z</dcterms:modified>
</cp:coreProperties>
</file>